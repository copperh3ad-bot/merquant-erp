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 Articles (SKUs)" sheetId="2" state="visible" r:id="rId2"/>
    <sheet xmlns:r="http://schemas.openxmlformats.org/officeDocument/2006/relationships" name="2. SKU Fabric Consumption" sheetId="3" state="visible" r:id="rId3"/>
    <sheet xmlns:r="http://schemas.openxmlformats.org/officeDocument/2006/relationships" name="3. SKU Accessory Consumption" sheetId="4" state="visible" r:id="rId4"/>
    <sheet xmlns:r="http://schemas.openxmlformats.org/officeDocument/2006/relationships" name="4. Carton Master" sheetId="5" state="visible" r:id="rId5"/>
    <sheet xmlns:r="http://schemas.openxmlformats.org/officeDocument/2006/relationships" name="5. Price List"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6"/>
    </font>
    <font>
      <name val="Arial"/>
      <color rgb="00666666"/>
      <sz val="10"/>
    </font>
    <font>
      <name val="Arial"/>
      <color rgb="00333333"/>
      <sz val="10"/>
    </font>
    <font>
      <name val="Arial"/>
      <b val="1"/>
      <color rgb="001F3864"/>
      <sz val="12"/>
    </font>
    <font>
      <name val="Arial"/>
      <color rgb="00B45309"/>
      <sz val="10"/>
    </font>
    <font>
      <name val="Arial"/>
      <color rgb="0092400E"/>
      <sz val="10"/>
    </font>
    <font>
      <name val="Arial"/>
      <b val="1"/>
      <color rgb="00FFFFFF"/>
      <sz val="10"/>
    </font>
    <font>
      <i val="1"/>
      <color rgb="0092400E"/>
      <sz val="10"/>
    </font>
    <font>
      <i val="1"/>
      <color rgb="003730A3"/>
      <sz val="10"/>
    </font>
  </fonts>
  <fills count="7">
    <fill>
      <patternFill/>
    </fill>
    <fill>
      <patternFill patternType="gray125"/>
    </fill>
    <fill>
      <patternFill patternType="solid">
        <fgColor rgb="001F3864"/>
      </patternFill>
    </fill>
    <fill>
      <patternFill patternType="solid">
        <fgColor rgb="00B45309"/>
      </patternFill>
    </fill>
    <fill>
      <patternFill patternType="solid">
        <fgColor rgb="00EBF0FA"/>
      </patternFill>
    </fill>
    <fill>
      <patternFill patternType="solid">
        <fgColor rgb="00FEF3C7"/>
      </patternFill>
    </fill>
    <fill>
      <patternFill patternType="solid">
        <fgColor rgb="00E0E7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0" fillId="4" borderId="1" pivotButton="0" quotePrefix="0" xfId="0"/>
    <xf numFmtId="0" fontId="8" fillId="5" borderId="1" pivotButton="0" quotePrefix="0" xfId="0"/>
    <xf numFmtId="0" fontId="0" fillId="0" borderId="1" pivotButton="0" quotePrefix="0" xfId="0"/>
    <xf numFmtId="0" fontId="7" fillId="5" borderId="1" applyAlignment="1" pivotButton="0" quotePrefix="0" xfId="0">
      <alignment horizontal="center" vertical="center" wrapText="1"/>
    </xf>
    <xf numFmtId="0" fontId="9" fillId="6"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MerQuant — BOB Tech Pack Master Data (SKU-level)</t>
        </is>
      </c>
    </row>
    <row r="2">
      <c r="A2" s="2" t="inlineStr">
        <is>
          <t>Generated 2026-04-20 · 3 source tech packs · 35 SKUs · SKU × fabric-component granularity</t>
        </is>
      </c>
    </row>
    <row r="3">
      <c r="A3" s="3" t="inlineStr"/>
    </row>
    <row r="4">
      <c r="A4" s="4" t="inlineStr">
        <is>
          <t>COLOR KEY</t>
        </is>
      </c>
    </row>
    <row r="5">
      <c r="A5" s="3" t="inlineStr">
        <is>
          <t xml:space="preserve">  Dark blue = auto from tech pack (do not edit)</t>
        </is>
      </c>
    </row>
    <row r="6">
      <c r="A6" s="5" t="inlineStr">
        <is>
          <t xml:space="preserve">  Amber     = REQUIRED — fill before import</t>
        </is>
      </c>
    </row>
    <row r="7">
      <c r="A7" s="6" t="inlineStr">
        <is>
          <t xml:space="preserve">  Yellow    = OPTIONAL — fill when data available</t>
        </is>
      </c>
    </row>
    <row r="8">
      <c r="A8" s="3" t="inlineStr"/>
    </row>
    <row r="9">
      <c r="A9" s="4" t="inlineStr">
        <is>
          <t>SHEETS</t>
        </is>
      </c>
    </row>
    <row r="10">
      <c r="A10" s="3" t="inlineStr">
        <is>
          <t xml:space="preserve">  1. Articles (SKUs)           — one row per SKU. Fill order_quantity.</t>
        </is>
      </c>
    </row>
    <row r="11">
      <c r="A11" s="3" t="inlineStr">
        <is>
          <t xml:space="preserve">  2. SKU Fabric Consumption    — one row per SKU × fabric-component. Fill width_cm, consumption_per_unit, wastage_percent.</t>
        </is>
      </c>
    </row>
    <row r="12">
      <c r="A12" s="3" t="inlineStr">
        <is>
          <t xml:space="preserve">  3. SKU Accessory Consumption — one row per SKU × label/packaging item. Fill consumption_per_unit.</t>
        </is>
      </c>
    </row>
    <row r="13">
      <c r="A13" s="3" t="inlineStr">
        <is>
          <t xml:space="preserve">  4. Carton Master             — per-SKU carton dims + CBM (auto).</t>
        </is>
      </c>
    </row>
    <row r="14">
      <c r="A14" s="3" t="inlineStr">
        <is>
          <t xml:space="preserve">  5. Price List                — per-SKU. Fill price_usd + effective dates.</t>
        </is>
      </c>
    </row>
    <row r="15">
      <c r="A15" s="3" t="inlineStr"/>
    </row>
    <row r="16">
      <c r="A16" s="4" t="inlineStr">
        <is>
          <t>WHY SKU-LEVEL CONSUMPTION</t>
        </is>
      </c>
    </row>
    <row r="17">
      <c r="A17" s="3" t="inlineStr">
        <is>
          <t xml:space="preserve">  Consumption changes per size. A TWIN mattress protector platform fabric might be 1.85m;</t>
        </is>
      </c>
    </row>
    <row r="18">
      <c r="A18" s="3" t="inlineStr">
        <is>
          <t xml:space="preserve">  a KING is closer to 3.4m. Tech packs define the fabric; merchandiser enters consumption per size.</t>
        </is>
      </c>
    </row>
    <row r="19">
      <c r="A19" s="3" t="inlineStr">
        <is>
          <t xml:space="preserve">  This structure matches MerQuant's articles.components[] shape — one component entry per fabric</t>
        </is>
      </c>
    </row>
    <row r="20">
      <c r="A20" s="3" t="inlineStr">
        <is>
          <t xml:space="preserve">  per article (SKU), enabling accurate fabric order calculation.</t>
        </is>
      </c>
    </row>
  </sheetData>
  <pageMargins left="0.75" right="0.75" top="1" bottom="1" header="0.5" footer="0.5"/>
</worksheet>
</file>

<file path=xl/worksheets/sheet2.xml><?xml version="1.0" encoding="utf-8"?>
<worksheet xmlns="http://schemas.openxmlformats.org/spreadsheetml/2006/main">
  <sheetPr>
    <tabColor rgb="003B82F6"/>
    <outlinePr summaryBelow="1" summaryRight="1"/>
    <pageSetUpPr/>
  </sheetPr>
  <dimension ref="A1:N3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0" customWidth="1" min="3" max="3"/>
    <col width="12" customWidth="1" min="4" max="4"/>
    <col width="12" customWidth="1" min="5" max="5"/>
    <col width="12" customWidth="1" min="6" max="6"/>
    <col width="12" customWidth="1" min="7" max="7"/>
    <col width="22" customWidth="1" min="8" max="8"/>
    <col width="22" customWidth="1" min="9" max="9"/>
    <col width="22" customWidth="1" min="10" max="10"/>
    <col width="18" customWidth="1" min="11" max="11"/>
    <col width="19" customWidth="1" min="12" max="12"/>
    <col width="18" customWidth="1" min="13" max="13"/>
    <col width="16" customWidth="1" min="14" max="14"/>
  </cols>
  <sheetData>
    <row r="1" ht="34" customHeight="1">
      <c r="A1" s="7" t="inlineStr">
        <is>
          <t>tech_pack_code</t>
        </is>
      </c>
      <c r="B1" s="7" t="inlineStr">
        <is>
          <t>brand</t>
        </is>
      </c>
      <c r="C1" s="7" t="inlineStr">
        <is>
          <t>product_type</t>
        </is>
      </c>
      <c r="D1" s="7" t="inlineStr">
        <is>
          <t>size</t>
        </is>
      </c>
      <c r="E1" s="7" t="inlineStr">
        <is>
          <t>item_code</t>
        </is>
      </c>
      <c r="F1" s="7" t="inlineStr">
        <is>
          <t>bob_sku</t>
        </is>
      </c>
      <c r="G1" s="7" t="inlineStr">
        <is>
          <t>color</t>
        </is>
      </c>
      <c r="H1" s="7" t="inlineStr">
        <is>
          <t>product_dimensions</t>
        </is>
      </c>
      <c r="I1" s="7" t="inlineStr">
        <is>
          <t>insert_dimensions</t>
        </is>
      </c>
      <c r="J1" s="7" t="inlineStr">
        <is>
          <t>pvc_bag_dimensions</t>
        </is>
      </c>
      <c r="K1" s="7" t="inlineStr">
        <is>
          <t>stiffener_size</t>
        </is>
      </c>
      <c r="L1" s="7" t="inlineStr">
        <is>
          <t>units_per_carton</t>
        </is>
      </c>
      <c r="M1" s="7" t="inlineStr">
        <is>
          <t>carton_size_cm</t>
        </is>
      </c>
      <c r="N1" s="8" t="inlineStr">
        <is>
          <t>order_quantity</t>
        </is>
      </c>
    </row>
    <row r="2">
      <c r="A2" s="9" t="inlineStr">
        <is>
          <t>FT2</t>
        </is>
      </c>
      <c r="B2" s="9" t="inlineStr">
        <is>
          <t>BOB</t>
        </is>
      </c>
      <c r="C2" s="9" t="inlineStr">
        <is>
          <t>Cooling Waterproof mattress protector</t>
        </is>
      </c>
      <c r="D2" s="9" t="inlineStr">
        <is>
          <t>TWIN</t>
        </is>
      </c>
      <c r="E2" s="9" t="inlineStr">
        <is>
          <t>GPFRIOMP33</t>
        </is>
      </c>
      <c r="F2" s="9" t="inlineStr">
        <is>
          <t>10001731001</t>
        </is>
      </c>
      <c r="G2" s="9" t="inlineStr">
        <is>
          <t>White</t>
        </is>
      </c>
      <c r="H2" s="9" t="inlineStr">
        <is>
          <t>39X75X14.5”</t>
        </is>
      </c>
      <c r="I2" s="9" t="inlineStr">
        <is>
          <t>26.50x53.00CM</t>
        </is>
      </c>
      <c r="J2" s="9" t="inlineStr">
        <is>
          <t>26.50X26.50+5.00CM</t>
        </is>
      </c>
      <c r="K2" s="9" t="inlineStr">
        <is>
          <t>25.5X26X4.2CM</t>
        </is>
      </c>
      <c r="L2" s="9" t="n">
        <v>10</v>
      </c>
      <c r="M2" s="9" t="inlineStr">
        <is>
          <t>56*29*27</t>
        </is>
      </c>
      <c r="N2" s="10" t="inlineStr"/>
    </row>
    <row r="3">
      <c r="A3" s="11" t="inlineStr">
        <is>
          <t>FT2</t>
        </is>
      </c>
      <c r="B3" s="11" t="inlineStr">
        <is>
          <t>BOB</t>
        </is>
      </c>
      <c r="C3" s="11" t="inlineStr">
        <is>
          <t>Cooling Waterproof mattress protector</t>
        </is>
      </c>
      <c r="D3" s="11" t="inlineStr">
        <is>
          <t>TWIN XL</t>
        </is>
      </c>
      <c r="E3" s="11" t="inlineStr">
        <is>
          <t>GPFRIOMP38</t>
        </is>
      </c>
      <c r="F3" s="11" t="inlineStr">
        <is>
          <t>10001731002</t>
        </is>
      </c>
      <c r="G3" s="11" t="inlineStr">
        <is>
          <t>White</t>
        </is>
      </c>
      <c r="H3" s="11" t="inlineStr">
        <is>
          <t>39X80X15.5”</t>
        </is>
      </c>
      <c r="I3" s="11" t="inlineStr">
        <is>
          <t>26.50x53.00CM</t>
        </is>
      </c>
      <c r="J3" s="11" t="inlineStr">
        <is>
          <t>26.50X26.50+5.00CM</t>
        </is>
      </c>
      <c r="K3" s="11" t="inlineStr">
        <is>
          <t>25.5X26X4.2CM</t>
        </is>
      </c>
      <c r="L3" s="11" t="n">
        <v>10</v>
      </c>
      <c r="M3" s="11" t="inlineStr">
        <is>
          <t>56*29*27</t>
        </is>
      </c>
      <c r="N3" s="10" t="inlineStr"/>
    </row>
    <row r="4">
      <c r="A4" s="9" t="inlineStr">
        <is>
          <t>FT2</t>
        </is>
      </c>
      <c r="B4" s="9" t="inlineStr">
        <is>
          <t>BOB</t>
        </is>
      </c>
      <c r="C4" s="9" t="inlineStr">
        <is>
          <t>Cooling Waterproof mattress protector</t>
        </is>
      </c>
      <c r="D4" s="9" t="inlineStr">
        <is>
          <t>FULL</t>
        </is>
      </c>
      <c r="E4" s="9" t="inlineStr">
        <is>
          <t>GPFRIOMP46</t>
        </is>
      </c>
      <c r="F4" s="9" t="inlineStr">
        <is>
          <t>10001731003</t>
        </is>
      </c>
      <c r="G4" s="9" t="inlineStr">
        <is>
          <t>White</t>
        </is>
      </c>
      <c r="H4" s="9" t="inlineStr">
        <is>
          <t>54X75X14.5”</t>
        </is>
      </c>
      <c r="I4" s="9" t="inlineStr">
        <is>
          <t>26.50x53.00CM</t>
        </is>
      </c>
      <c r="J4" s="9" t="inlineStr">
        <is>
          <t>26.50X26.50+5.00CM</t>
        </is>
      </c>
      <c r="K4" s="9" t="inlineStr">
        <is>
          <t>25.5X26X4.2CM</t>
        </is>
      </c>
      <c r="L4" s="9" t="n">
        <v>10</v>
      </c>
      <c r="M4" s="9" t="inlineStr">
        <is>
          <t>56*29*27</t>
        </is>
      </c>
      <c r="N4" s="10" t="inlineStr"/>
    </row>
    <row r="5">
      <c r="A5" s="11" t="inlineStr">
        <is>
          <t>FT2</t>
        </is>
      </c>
      <c r="B5" s="11" t="inlineStr">
        <is>
          <t>BOB</t>
        </is>
      </c>
      <c r="C5" s="11" t="inlineStr">
        <is>
          <t>Cooling Waterproof mattress protector</t>
        </is>
      </c>
      <c r="D5" s="11" t="inlineStr">
        <is>
          <t>FULL XL</t>
        </is>
      </c>
      <c r="E5" s="11" t="inlineStr">
        <is>
          <t>GPFRIOMP80</t>
        </is>
      </c>
      <c r="F5" s="11" t="inlineStr"/>
      <c r="G5" s="11" t="inlineStr">
        <is>
          <t>White</t>
        </is>
      </c>
      <c r="H5" s="11" t="inlineStr">
        <is>
          <t>54X80X114.5”</t>
        </is>
      </c>
      <c r="I5" s="11" t="inlineStr">
        <is>
          <t>26.50x53.00CM</t>
        </is>
      </c>
      <c r="J5" s="11" t="inlineStr">
        <is>
          <t>26.50X26.50+5.00CM</t>
        </is>
      </c>
      <c r="K5" s="11" t="inlineStr">
        <is>
          <t>25.5X26X4.2CM</t>
        </is>
      </c>
      <c r="L5" s="11" t="n">
        <v>10</v>
      </c>
      <c r="M5" s="11" t="inlineStr">
        <is>
          <t>56*29*27</t>
        </is>
      </c>
      <c r="N5" s="10" t="inlineStr"/>
    </row>
    <row r="6">
      <c r="A6" s="9" t="inlineStr">
        <is>
          <t>FT2</t>
        </is>
      </c>
      <c r="B6" s="9" t="inlineStr">
        <is>
          <t>BOB</t>
        </is>
      </c>
      <c r="C6" s="9" t="inlineStr">
        <is>
          <t>Cooling Waterproof mattress protector</t>
        </is>
      </c>
      <c r="D6" s="9" t="inlineStr">
        <is>
          <t>QUEEN</t>
        </is>
      </c>
      <c r="E6" s="9" t="inlineStr">
        <is>
          <t>GPFRIOMP50</t>
        </is>
      </c>
      <c r="F6" s="9" t="inlineStr">
        <is>
          <t>10001731004</t>
        </is>
      </c>
      <c r="G6" s="9" t="inlineStr">
        <is>
          <t>White</t>
        </is>
      </c>
      <c r="H6" s="9" t="inlineStr">
        <is>
          <t>60X80X17”</t>
        </is>
      </c>
      <c r="I6" s="9" t="inlineStr">
        <is>
          <t>26.50x54.00CM</t>
        </is>
      </c>
      <c r="J6" s="9" t="inlineStr">
        <is>
          <t>26.50X26.50+6.00CM</t>
        </is>
      </c>
      <c r="K6" s="9" t="inlineStr">
        <is>
          <t>25.5X26X5.2CM</t>
        </is>
      </c>
      <c r="L6" s="9" t="n">
        <v>10</v>
      </c>
      <c r="M6" s="9" t="inlineStr">
        <is>
          <t>56*29*32</t>
        </is>
      </c>
      <c r="N6" s="10" t="inlineStr"/>
    </row>
    <row r="7">
      <c r="A7" s="11" t="inlineStr">
        <is>
          <t>FT2</t>
        </is>
      </c>
      <c r="B7" s="11" t="inlineStr">
        <is>
          <t>BOB</t>
        </is>
      </c>
      <c r="C7" s="11" t="inlineStr">
        <is>
          <t>Cooling Waterproof mattress protector</t>
        </is>
      </c>
      <c r="D7" s="11" t="inlineStr">
        <is>
          <t>KING</t>
        </is>
      </c>
      <c r="E7" s="11" t="inlineStr">
        <is>
          <t>GPFRIOMP78</t>
        </is>
      </c>
      <c r="F7" s="11" t="inlineStr">
        <is>
          <t>10001731005</t>
        </is>
      </c>
      <c r="G7" s="11" t="inlineStr">
        <is>
          <t>White</t>
        </is>
      </c>
      <c r="H7" s="11" t="inlineStr">
        <is>
          <t>78X80X17”</t>
        </is>
      </c>
      <c r="I7" s="11" t="inlineStr">
        <is>
          <t>26.50x55.00CM</t>
        </is>
      </c>
      <c r="J7" s="11" t="inlineStr">
        <is>
          <t>26.50X26.50+7.00CM</t>
        </is>
      </c>
      <c r="K7" s="11" t="inlineStr">
        <is>
          <t>25.5X26X6.2CM</t>
        </is>
      </c>
      <c r="L7" s="11" t="n">
        <v>8</v>
      </c>
      <c r="M7" s="11" t="inlineStr">
        <is>
          <t>56*29*30</t>
        </is>
      </c>
      <c r="N7" s="10" t="inlineStr"/>
    </row>
    <row r="8">
      <c r="A8" s="9" t="inlineStr">
        <is>
          <t>FT2</t>
        </is>
      </c>
      <c r="B8" s="9" t="inlineStr">
        <is>
          <t>BOB</t>
        </is>
      </c>
      <c r="C8" s="9" t="inlineStr">
        <is>
          <t>Cooling Waterproof mattress protector</t>
        </is>
      </c>
      <c r="D8" s="9" t="inlineStr">
        <is>
          <t>CAL KING</t>
        </is>
      </c>
      <c r="E8" s="9" t="inlineStr">
        <is>
          <t>GPFRIOMP72</t>
        </is>
      </c>
      <c r="F8" s="9" t="inlineStr">
        <is>
          <t>10001731006</t>
        </is>
      </c>
      <c r="G8" s="9" t="inlineStr">
        <is>
          <t>White</t>
        </is>
      </c>
      <c r="H8" s="9" t="inlineStr">
        <is>
          <t>72x84X17”</t>
        </is>
      </c>
      <c r="I8" s="9" t="inlineStr">
        <is>
          <t>26.50x55.00CM</t>
        </is>
      </c>
      <c r="J8" s="9" t="inlineStr">
        <is>
          <t>26.50X26.50+7.00CM</t>
        </is>
      </c>
      <c r="K8" s="9" t="inlineStr">
        <is>
          <t>25.5X26X6.2CM</t>
        </is>
      </c>
      <c r="L8" s="9" t="n">
        <v>8</v>
      </c>
      <c r="M8" s="9" t="inlineStr">
        <is>
          <t>56*29*30</t>
        </is>
      </c>
      <c r="N8" s="10" t="inlineStr"/>
    </row>
    <row r="9">
      <c r="A9" s="11" t="inlineStr">
        <is>
          <t>FT2</t>
        </is>
      </c>
      <c r="B9" s="11" t="inlineStr">
        <is>
          <t>BOB</t>
        </is>
      </c>
      <c r="C9" s="11" t="inlineStr">
        <is>
          <t>Cooling Waterproof mattress protector</t>
        </is>
      </c>
      <c r="D9" s="11" t="inlineStr">
        <is>
          <t>SPLIT  CAL KING</t>
        </is>
      </c>
      <c r="E9" s="11" t="inlineStr">
        <is>
          <t>GPFRIOMP36</t>
        </is>
      </c>
      <c r="F9" s="11" t="inlineStr"/>
      <c r="G9" s="11" t="inlineStr">
        <is>
          <t>White</t>
        </is>
      </c>
      <c r="H9" s="11" t="inlineStr">
        <is>
          <t>36x84X15.5”</t>
        </is>
      </c>
      <c r="I9" s="11" t="inlineStr">
        <is>
          <t>26.50x53.00CM</t>
        </is>
      </c>
      <c r="J9" s="11" t="inlineStr">
        <is>
          <t>26.50X26.50+5.00CM</t>
        </is>
      </c>
      <c r="K9" s="11" t="inlineStr">
        <is>
          <t>25.5X26X4.2CM</t>
        </is>
      </c>
      <c r="L9" s="11" t="inlineStr"/>
      <c r="M9" s="11" t="inlineStr"/>
      <c r="N9" s="10" t="inlineStr"/>
    </row>
    <row r="10">
      <c r="A10" s="9" t="inlineStr">
        <is>
          <t>FT2</t>
        </is>
      </c>
      <c r="B10" s="9" t="inlineStr">
        <is>
          <t>BOB</t>
        </is>
      </c>
      <c r="C10" s="9" t="inlineStr">
        <is>
          <t>Cooling Waterproof mattress protector</t>
        </is>
      </c>
      <c r="D10" s="9" t="inlineStr">
        <is>
          <t>SPLIT HEAD QUEEN</t>
        </is>
      </c>
      <c r="E10" s="9" t="inlineStr">
        <is>
          <t>GPFRIOMP52</t>
        </is>
      </c>
      <c r="F10" s="9" t="inlineStr">
        <is>
          <t>10001731008</t>
        </is>
      </c>
      <c r="G10" s="9" t="inlineStr">
        <is>
          <t>White</t>
        </is>
      </c>
      <c r="H10" s="9" t="inlineStr">
        <is>
          <t>60X80X17”</t>
        </is>
      </c>
      <c r="I10" s="9" t="inlineStr">
        <is>
          <t>26.50x54.00CM</t>
        </is>
      </c>
      <c r="J10" s="9" t="inlineStr">
        <is>
          <t>26.50X26.50+6.00CM</t>
        </is>
      </c>
      <c r="K10" s="9" t="inlineStr">
        <is>
          <t>25.5X26X5.2CM</t>
        </is>
      </c>
      <c r="L10" s="9" t="n">
        <v>10</v>
      </c>
      <c r="M10" s="9" t="inlineStr">
        <is>
          <t>56*29*32</t>
        </is>
      </c>
      <c r="N10" s="10" t="inlineStr"/>
    </row>
    <row r="11">
      <c r="A11" s="11" t="inlineStr">
        <is>
          <t>FT2</t>
        </is>
      </c>
      <c r="B11" s="11" t="inlineStr">
        <is>
          <t>BOB</t>
        </is>
      </c>
      <c r="C11" s="11" t="inlineStr">
        <is>
          <t>Cooling Waterproof mattress protector</t>
        </is>
      </c>
      <c r="D11" s="11" t="inlineStr">
        <is>
          <t>SPLIT HEAD KING</t>
        </is>
      </c>
      <c r="E11" s="11" t="inlineStr">
        <is>
          <t>GPFRIOMP79</t>
        </is>
      </c>
      <c r="F11" s="11" t="inlineStr">
        <is>
          <t>10001731009</t>
        </is>
      </c>
      <c r="G11" s="11" t="inlineStr">
        <is>
          <t>White</t>
        </is>
      </c>
      <c r="H11" s="11" t="inlineStr">
        <is>
          <t>76X80X17”</t>
        </is>
      </c>
      <c r="I11" s="11" t="inlineStr">
        <is>
          <t>26.50x55.00CM</t>
        </is>
      </c>
      <c r="J11" s="11" t="inlineStr">
        <is>
          <t>26.50X26.50+7.00CM</t>
        </is>
      </c>
      <c r="K11" s="11" t="inlineStr">
        <is>
          <t>25.5X26X6.2CM</t>
        </is>
      </c>
      <c r="L11" s="11" t="n">
        <v>8</v>
      </c>
      <c r="M11" s="11" t="inlineStr">
        <is>
          <t>56*29*30</t>
        </is>
      </c>
      <c r="N11" s="10" t="inlineStr"/>
    </row>
    <row r="12">
      <c r="A12" s="9" t="inlineStr">
        <is>
          <t>FT2</t>
        </is>
      </c>
      <c r="B12" s="9" t="inlineStr">
        <is>
          <t>BOB</t>
        </is>
      </c>
      <c r="C12" s="9" t="inlineStr">
        <is>
          <t>Cooling Waterproof mattress protector</t>
        </is>
      </c>
      <c r="D12" s="9" t="inlineStr">
        <is>
          <t>QUEEN PILLOW PROTECTOR</t>
        </is>
      </c>
      <c r="E12" s="9" t="inlineStr">
        <is>
          <t>GPFRIOPPQ</t>
        </is>
      </c>
      <c r="F12" s="9" t="inlineStr">
        <is>
          <t>10001731010</t>
        </is>
      </c>
      <c r="G12" s="9" t="inlineStr">
        <is>
          <t>White</t>
        </is>
      </c>
      <c r="H12" s="9" t="inlineStr">
        <is>
          <t>21"X31"</t>
        </is>
      </c>
      <c r="I12" s="9" t="inlineStr">
        <is>
          <t>21.00X34.50CM</t>
        </is>
      </c>
      <c r="J12" s="9" t="inlineStr">
        <is>
          <t>23.00X28.00CM</t>
        </is>
      </c>
      <c r="K12" s="9" t="inlineStr">
        <is>
          <t>23.00X28.00CM</t>
        </is>
      </c>
      <c r="L12" s="9" t="inlineStr"/>
      <c r="M12" s="9" t="inlineStr"/>
      <c r="N12" s="10" t="inlineStr"/>
    </row>
    <row r="13">
      <c r="A13" s="11" t="inlineStr">
        <is>
          <t>FT2</t>
        </is>
      </c>
      <c r="B13" s="11" t="inlineStr">
        <is>
          <t>BOB</t>
        </is>
      </c>
      <c r="C13" s="11" t="inlineStr">
        <is>
          <t>Cooling Waterproof mattress protector</t>
        </is>
      </c>
      <c r="D13" s="11" t="inlineStr">
        <is>
          <t>KING PILLOW PROTECTOR</t>
        </is>
      </c>
      <c r="E13" s="11" t="inlineStr">
        <is>
          <t>GPFRIOPPk</t>
        </is>
      </c>
      <c r="F13" s="11" t="inlineStr">
        <is>
          <t>10001731011</t>
        </is>
      </c>
      <c r="G13" s="11" t="inlineStr">
        <is>
          <t>White</t>
        </is>
      </c>
      <c r="H13" s="11" t="inlineStr">
        <is>
          <t>21"X37"</t>
        </is>
      </c>
      <c r="I13" s="11" t="inlineStr">
        <is>
          <t>21.00X34.50CM</t>
        </is>
      </c>
      <c r="J13" s="11" t="inlineStr">
        <is>
          <t>23.00X28.00CM</t>
        </is>
      </c>
      <c r="K13" s="11" t="inlineStr">
        <is>
          <t>23.00X28.00CM</t>
        </is>
      </c>
      <c r="L13" s="11" t="inlineStr"/>
      <c r="M13" s="11" t="inlineStr"/>
      <c r="N13" s="10" t="inlineStr"/>
    </row>
    <row r="14">
      <c r="A14" s="9" t="inlineStr">
        <is>
          <t>FT4</t>
        </is>
      </c>
      <c r="B14" s="9" t="inlineStr">
        <is>
          <t>BOB</t>
        </is>
      </c>
      <c r="C14" s="9" t="inlineStr">
        <is>
          <t>Poly terry Waterproof mattress protector</t>
        </is>
      </c>
      <c r="D14" s="9" t="inlineStr">
        <is>
          <t>TWIN</t>
        </is>
      </c>
      <c r="E14" s="9" t="inlineStr">
        <is>
          <t>GPMP33</t>
        </is>
      </c>
      <c r="F14" s="9" t="inlineStr"/>
      <c r="G14" s="9" t="inlineStr">
        <is>
          <t>White</t>
        </is>
      </c>
      <c r="H14" s="9" t="inlineStr">
        <is>
          <t>39X75X18”</t>
        </is>
      </c>
      <c r="I14" s="9" t="inlineStr">
        <is>
          <t>52.60x27.00CM</t>
        </is>
      </c>
      <c r="J14" s="9" t="inlineStr">
        <is>
          <t>28.00X28.00+5.00CM</t>
        </is>
      </c>
      <c r="K14" s="9" t="inlineStr">
        <is>
          <t>27X27.5X4.2cm</t>
        </is>
      </c>
      <c r="L14" s="9" t="inlineStr"/>
      <c r="M14" s="9" t="inlineStr"/>
      <c r="N14" s="10" t="inlineStr"/>
    </row>
    <row r="15">
      <c r="A15" s="11" t="inlineStr">
        <is>
          <t>FT4</t>
        </is>
      </c>
      <c r="B15" s="11" t="inlineStr">
        <is>
          <t>BOB</t>
        </is>
      </c>
      <c r="C15" s="11" t="inlineStr">
        <is>
          <t>Poly terry Waterproof mattress protector</t>
        </is>
      </c>
      <c r="D15" s="11" t="inlineStr">
        <is>
          <t>TWIN XL</t>
        </is>
      </c>
      <c r="E15" s="11" t="inlineStr">
        <is>
          <t>GPMP38</t>
        </is>
      </c>
      <c r="F15" s="11" t="inlineStr"/>
      <c r="G15" s="11" t="inlineStr">
        <is>
          <t>White</t>
        </is>
      </c>
      <c r="H15" s="11" t="inlineStr">
        <is>
          <t>39X80X18”</t>
        </is>
      </c>
      <c r="I15" s="11" t="inlineStr">
        <is>
          <t>52.60x27.00CM</t>
        </is>
      </c>
      <c r="J15" s="11" t="inlineStr">
        <is>
          <t>28.00X28.00+5.00CM</t>
        </is>
      </c>
      <c r="K15" s="11" t="inlineStr">
        <is>
          <t>27X27.5X4.2cm</t>
        </is>
      </c>
      <c r="L15" s="11" t="inlineStr"/>
      <c r="M15" s="11" t="inlineStr"/>
      <c r="N15" s="10" t="inlineStr"/>
    </row>
    <row r="16">
      <c r="A16" s="9" t="inlineStr">
        <is>
          <t>FT4</t>
        </is>
      </c>
      <c r="B16" s="9" t="inlineStr">
        <is>
          <t>BOB</t>
        </is>
      </c>
      <c r="C16" s="9" t="inlineStr">
        <is>
          <t>Poly terry Waterproof mattress protector</t>
        </is>
      </c>
      <c r="D16" s="9" t="inlineStr">
        <is>
          <t>FULL</t>
        </is>
      </c>
      <c r="E16" s="9" t="inlineStr">
        <is>
          <t>GPMP46</t>
        </is>
      </c>
      <c r="F16" s="9" t="inlineStr"/>
      <c r="G16" s="9" t="inlineStr">
        <is>
          <t>White</t>
        </is>
      </c>
      <c r="H16" s="9" t="inlineStr">
        <is>
          <t>54X75X18”</t>
        </is>
      </c>
      <c r="I16" s="9" t="inlineStr">
        <is>
          <t>54.60x27.00CM</t>
        </is>
      </c>
      <c r="J16" s="9" t="inlineStr">
        <is>
          <t>28.00X28.00+7.00CM</t>
        </is>
      </c>
      <c r="K16" s="9" t="inlineStr">
        <is>
          <t>27X27.5X6.2cm</t>
        </is>
      </c>
      <c r="L16" s="9" t="inlineStr"/>
      <c r="M16" s="9" t="inlineStr"/>
      <c r="N16" s="10" t="inlineStr"/>
    </row>
    <row r="17">
      <c r="A17" s="11" t="inlineStr">
        <is>
          <t>FT4</t>
        </is>
      </c>
      <c r="B17" s="11" t="inlineStr">
        <is>
          <t>BOB</t>
        </is>
      </c>
      <c r="C17" s="11" t="inlineStr">
        <is>
          <t>Poly terry Waterproof mattress protector</t>
        </is>
      </c>
      <c r="D17" s="11" t="inlineStr">
        <is>
          <t>FULL XL</t>
        </is>
      </c>
      <c r="E17" s="11" t="inlineStr">
        <is>
          <t>GPMP80</t>
        </is>
      </c>
      <c r="F17" s="11" t="inlineStr"/>
      <c r="G17" s="11" t="inlineStr">
        <is>
          <t>White</t>
        </is>
      </c>
      <c r="H17" s="11" t="inlineStr">
        <is>
          <t>54X80X18“</t>
        </is>
      </c>
      <c r="I17" s="11" t="inlineStr">
        <is>
          <t>54.60x27.00CM</t>
        </is>
      </c>
      <c r="J17" s="11" t="inlineStr">
        <is>
          <t>28.00X28.00+7.00CM</t>
        </is>
      </c>
      <c r="K17" s="11" t="inlineStr">
        <is>
          <t>27X27.5X6.2cm</t>
        </is>
      </c>
      <c r="L17" s="11" t="inlineStr"/>
      <c r="M17" s="11" t="inlineStr"/>
      <c r="N17" s="10" t="inlineStr"/>
    </row>
    <row r="18">
      <c r="A18" s="9" t="inlineStr">
        <is>
          <t>FT4</t>
        </is>
      </c>
      <c r="B18" s="9" t="inlineStr">
        <is>
          <t>BOB</t>
        </is>
      </c>
      <c r="C18" s="9" t="inlineStr">
        <is>
          <t>Poly terry Waterproof mattress protector</t>
        </is>
      </c>
      <c r="D18" s="9" t="inlineStr">
        <is>
          <t>QUEEN</t>
        </is>
      </c>
      <c r="E18" s="9" t="inlineStr">
        <is>
          <t>GPMP50</t>
        </is>
      </c>
      <c r="F18" s="9" t="inlineStr"/>
      <c r="G18" s="9" t="inlineStr">
        <is>
          <t>White</t>
        </is>
      </c>
      <c r="H18" s="9" t="inlineStr">
        <is>
          <t>60X80X18“</t>
        </is>
      </c>
      <c r="I18" s="9" t="inlineStr">
        <is>
          <t>54.60x27.00CM</t>
        </is>
      </c>
      <c r="J18" s="9" t="inlineStr">
        <is>
          <t>28.00X28.00+7.00CM</t>
        </is>
      </c>
      <c r="K18" s="9" t="inlineStr">
        <is>
          <t>27X27.5X6.2cm</t>
        </is>
      </c>
      <c r="L18" s="9" t="inlineStr"/>
      <c r="M18" s="9" t="inlineStr"/>
      <c r="N18" s="10" t="inlineStr"/>
    </row>
    <row r="19">
      <c r="A19" s="11" t="inlineStr">
        <is>
          <t>FT4</t>
        </is>
      </c>
      <c r="B19" s="11" t="inlineStr">
        <is>
          <t>BOB</t>
        </is>
      </c>
      <c r="C19" s="11" t="inlineStr">
        <is>
          <t>Poly terry Waterproof mattress protector</t>
        </is>
      </c>
      <c r="D19" s="11" t="inlineStr">
        <is>
          <t>KING</t>
        </is>
      </c>
      <c r="E19" s="11" t="inlineStr">
        <is>
          <t>GPMP78</t>
        </is>
      </c>
      <c r="F19" s="11" t="inlineStr"/>
      <c r="G19" s="11" t="inlineStr">
        <is>
          <t>White</t>
        </is>
      </c>
      <c r="H19" s="11" t="inlineStr">
        <is>
          <t>78X80X18“</t>
        </is>
      </c>
      <c r="I19" s="11" t="inlineStr">
        <is>
          <t>55.60x27.00CM</t>
        </is>
      </c>
      <c r="J19" s="11" t="inlineStr">
        <is>
          <t>28.00X28.00+8.00CM</t>
        </is>
      </c>
      <c r="K19" s="11" t="inlineStr">
        <is>
          <t>27X27.5X7.2cm</t>
        </is>
      </c>
      <c r="L19" s="11" t="inlineStr"/>
      <c r="M19" s="11" t="inlineStr"/>
      <c r="N19" s="10" t="inlineStr"/>
    </row>
    <row r="20">
      <c r="A20" s="9" t="inlineStr">
        <is>
          <t>FT4</t>
        </is>
      </c>
      <c r="B20" s="9" t="inlineStr">
        <is>
          <t>BOB</t>
        </is>
      </c>
      <c r="C20" s="9" t="inlineStr">
        <is>
          <t>Poly terry Waterproof mattress protector</t>
        </is>
      </c>
      <c r="D20" s="9" t="inlineStr">
        <is>
          <t>CAL KING</t>
        </is>
      </c>
      <c r="E20" s="9" t="inlineStr">
        <is>
          <t>GPMP72</t>
        </is>
      </c>
      <c r="F20" s="9" t="inlineStr"/>
      <c r="G20" s="9" t="inlineStr">
        <is>
          <t>White</t>
        </is>
      </c>
      <c r="H20" s="9" t="inlineStr">
        <is>
          <t>72x84X18”</t>
        </is>
      </c>
      <c r="I20" s="9" t="inlineStr">
        <is>
          <t>55.70x27.00CM</t>
        </is>
      </c>
      <c r="J20" s="9" t="inlineStr">
        <is>
          <t>28.00X28.00+8.00CM</t>
        </is>
      </c>
      <c r="K20" s="9" t="inlineStr">
        <is>
          <t>27X27.5X6.2cm</t>
        </is>
      </c>
      <c r="L20" s="9" t="inlineStr"/>
      <c r="M20" s="9" t="inlineStr"/>
      <c r="N20" s="10" t="inlineStr"/>
    </row>
    <row r="21">
      <c r="A21" s="11" t="inlineStr">
        <is>
          <t>FT4</t>
        </is>
      </c>
      <c r="B21" s="11" t="inlineStr">
        <is>
          <t>BOB</t>
        </is>
      </c>
      <c r="C21" s="11" t="inlineStr">
        <is>
          <t>Poly terry Waterproof mattress protector</t>
        </is>
      </c>
      <c r="D21" s="11" t="inlineStr">
        <is>
          <t>SPLIT CAL KING</t>
        </is>
      </c>
      <c r="E21" s="11" t="inlineStr">
        <is>
          <t>GPMP36</t>
        </is>
      </c>
      <c r="F21" s="11" t="inlineStr"/>
      <c r="G21" s="11" t="inlineStr">
        <is>
          <t>White</t>
        </is>
      </c>
      <c r="H21" s="11" t="inlineStr">
        <is>
          <t>36x84X18”</t>
        </is>
      </c>
      <c r="I21" s="11" t="inlineStr">
        <is>
          <t>52.60x27.00CM</t>
        </is>
      </c>
      <c r="J21" s="11" t="inlineStr">
        <is>
          <t>28.00X28.00+5.00CM</t>
        </is>
      </c>
      <c r="K21" s="11" t="inlineStr">
        <is>
          <t>27X27.5X4.2cm</t>
        </is>
      </c>
      <c r="L21" s="11" t="inlineStr"/>
      <c r="M21" s="11" t="inlineStr"/>
      <c r="N21" s="10" t="inlineStr"/>
    </row>
    <row r="22">
      <c r="A22" s="9" t="inlineStr">
        <is>
          <t>FT4</t>
        </is>
      </c>
      <c r="B22" s="9" t="inlineStr">
        <is>
          <t>BOB</t>
        </is>
      </c>
      <c r="C22" s="9" t="inlineStr">
        <is>
          <t>Poly terry Waterproof mattress protector</t>
        </is>
      </c>
      <c r="D22" s="9" t="inlineStr">
        <is>
          <t>SPLIT HEAD QUEEN</t>
        </is>
      </c>
      <c r="E22" s="9" t="inlineStr">
        <is>
          <t>GPMP52</t>
        </is>
      </c>
      <c r="F22" s="9" t="inlineStr"/>
      <c r="G22" s="9" t="inlineStr">
        <is>
          <t>White</t>
        </is>
      </c>
      <c r="H22" s="9" t="inlineStr">
        <is>
          <t>60X80X18“</t>
        </is>
      </c>
      <c r="I22" s="9" t="inlineStr">
        <is>
          <t>54.60x27.00CM</t>
        </is>
      </c>
      <c r="J22" s="9" t="inlineStr">
        <is>
          <t>28.00X28.00+7.00CM</t>
        </is>
      </c>
      <c r="K22" s="9" t="inlineStr">
        <is>
          <t>27X27.5X6.2cm</t>
        </is>
      </c>
      <c r="L22" s="9" t="inlineStr"/>
      <c r="M22" s="9" t="inlineStr"/>
      <c r="N22" s="10" t="inlineStr"/>
    </row>
    <row r="23">
      <c r="A23" s="11" t="inlineStr">
        <is>
          <t>FT4</t>
        </is>
      </c>
      <c r="B23" s="11" t="inlineStr">
        <is>
          <t>BOB</t>
        </is>
      </c>
      <c r="C23" s="11" t="inlineStr">
        <is>
          <t>Poly terry Waterproof mattress protector</t>
        </is>
      </c>
      <c r="D23" s="11" t="inlineStr">
        <is>
          <t>SPLIT HEAD KING</t>
        </is>
      </c>
      <c r="E23" s="11" t="inlineStr">
        <is>
          <t>GPMP79</t>
        </is>
      </c>
      <c r="F23" s="11" t="inlineStr"/>
      <c r="G23" s="11" t="inlineStr">
        <is>
          <t>White</t>
        </is>
      </c>
      <c r="H23" s="11" t="inlineStr">
        <is>
          <t>78X80X18“</t>
        </is>
      </c>
      <c r="I23" s="11" t="inlineStr">
        <is>
          <t>55.60x27.00CM</t>
        </is>
      </c>
      <c r="J23" s="11" t="inlineStr">
        <is>
          <t>28.00X28.00+8.00CM</t>
        </is>
      </c>
      <c r="K23" s="11" t="inlineStr">
        <is>
          <t>27X27.5X7.2cm</t>
        </is>
      </c>
      <c r="L23" s="11" t="inlineStr"/>
      <c r="M23" s="11" t="inlineStr"/>
      <c r="N23" s="10" t="inlineStr"/>
    </row>
    <row r="24">
      <c r="A24" s="9" t="inlineStr">
        <is>
          <t>FT9</t>
        </is>
      </c>
      <c r="B24" s="9" t="inlineStr">
        <is>
          <t>BOB</t>
        </is>
      </c>
      <c r="C24" s="9" t="inlineStr">
        <is>
          <t>Poly terry waterproof total encasement protector</t>
        </is>
      </c>
      <c r="D24" s="9" t="inlineStr">
        <is>
          <t>TWIN</t>
        </is>
      </c>
      <c r="E24" s="9" t="inlineStr">
        <is>
          <t>GPTE33</t>
        </is>
      </c>
      <c r="F24" s="9" t="inlineStr"/>
      <c r="G24" s="9" t="inlineStr">
        <is>
          <t>White</t>
        </is>
      </c>
      <c r="H24" s="9" t="inlineStr">
        <is>
          <t>39x75x11”</t>
        </is>
      </c>
      <c r="I24" s="9" t="inlineStr">
        <is>
          <t>27.00X54.10cm</t>
        </is>
      </c>
      <c r="J24" s="9" t="inlineStr">
        <is>
          <t>28X28X6.5cm</t>
        </is>
      </c>
      <c r="K24" s="9" t="inlineStr">
        <is>
          <t>27X27.5X5.7cm</t>
        </is>
      </c>
      <c r="L24" s="9" t="inlineStr"/>
      <c r="M24" s="9" t="inlineStr"/>
      <c r="N24" s="10" t="inlineStr"/>
    </row>
    <row r="25">
      <c r="A25" s="11" t="inlineStr">
        <is>
          <t>FT9</t>
        </is>
      </c>
      <c r="B25" s="11" t="inlineStr">
        <is>
          <t>BOB</t>
        </is>
      </c>
      <c r="C25" s="11" t="inlineStr">
        <is>
          <t>Poly terry waterproof total encasement protector</t>
        </is>
      </c>
      <c r="D25" s="11" t="inlineStr">
        <is>
          <t>TWIN XL</t>
        </is>
      </c>
      <c r="E25" s="11" t="inlineStr">
        <is>
          <t>GPTE38</t>
        </is>
      </c>
      <c r="F25" s="11" t="inlineStr"/>
      <c r="G25" s="11" t="inlineStr">
        <is>
          <t>White</t>
        </is>
      </c>
      <c r="H25" s="11" t="inlineStr">
        <is>
          <t>39x80x11”</t>
        </is>
      </c>
      <c r="I25" s="11" t="inlineStr">
        <is>
          <t>27.00X54.10cm</t>
        </is>
      </c>
      <c r="J25" s="11" t="inlineStr">
        <is>
          <t>28X28X6.5cm</t>
        </is>
      </c>
      <c r="K25" s="11" t="inlineStr">
        <is>
          <t>27X27.5X5.7cm</t>
        </is>
      </c>
      <c r="L25" s="11" t="inlineStr"/>
      <c r="M25" s="11" t="inlineStr"/>
      <c r="N25" s="10" t="inlineStr"/>
    </row>
    <row r="26">
      <c r="A26" s="9" t="inlineStr">
        <is>
          <t>FT9</t>
        </is>
      </c>
      <c r="B26" s="9" t="inlineStr">
        <is>
          <t>BOB</t>
        </is>
      </c>
      <c r="C26" s="9" t="inlineStr">
        <is>
          <t>Poly terry waterproof total encasement protector</t>
        </is>
      </c>
      <c r="D26" s="9" t="inlineStr">
        <is>
          <t>FULL</t>
        </is>
      </c>
      <c r="E26" s="9" t="inlineStr">
        <is>
          <t>GPTE46</t>
        </is>
      </c>
      <c r="F26" s="9" t="inlineStr"/>
      <c r="G26" s="9" t="inlineStr">
        <is>
          <t>White</t>
        </is>
      </c>
      <c r="H26" s="9" t="inlineStr">
        <is>
          <t>54x75x11”</t>
        </is>
      </c>
      <c r="I26" s="9" t="inlineStr">
        <is>
          <t>27.00X56.10cm</t>
        </is>
      </c>
      <c r="J26" s="9" t="inlineStr">
        <is>
          <t>28X28X8.5cm</t>
        </is>
      </c>
      <c r="K26" s="9" t="inlineStr">
        <is>
          <t>27X27.5X7.7cm</t>
        </is>
      </c>
      <c r="L26" s="9" t="inlineStr"/>
      <c r="M26" s="9" t="inlineStr"/>
      <c r="N26" s="10" t="inlineStr"/>
    </row>
    <row r="27">
      <c r="A27" s="11" t="inlineStr">
        <is>
          <t>FT9</t>
        </is>
      </c>
      <c r="B27" s="11" t="inlineStr">
        <is>
          <t>BOB</t>
        </is>
      </c>
      <c r="C27" s="11" t="inlineStr">
        <is>
          <t>Poly terry waterproof total encasement protector</t>
        </is>
      </c>
      <c r="D27" s="11" t="inlineStr">
        <is>
          <t>FULL XL</t>
        </is>
      </c>
      <c r="E27" s="11" t="inlineStr">
        <is>
          <t>GPTE80</t>
        </is>
      </c>
      <c r="F27" s="11" t="inlineStr"/>
      <c r="G27" s="11" t="inlineStr">
        <is>
          <t>White</t>
        </is>
      </c>
      <c r="H27" s="11" t="inlineStr">
        <is>
          <t>54x80x11”</t>
        </is>
      </c>
      <c r="I27" s="11" t="inlineStr">
        <is>
          <t>27.00X56.10cm</t>
        </is>
      </c>
      <c r="J27" s="11" t="inlineStr">
        <is>
          <t>28X28X8.5cm</t>
        </is>
      </c>
      <c r="K27" s="11" t="inlineStr">
        <is>
          <t>27X27.5X7.7cm</t>
        </is>
      </c>
      <c r="L27" s="11" t="inlineStr"/>
      <c r="M27" s="11" t="inlineStr"/>
      <c r="N27" s="10" t="inlineStr"/>
    </row>
    <row r="28">
      <c r="A28" s="9" t="inlineStr">
        <is>
          <t>FT9</t>
        </is>
      </c>
      <c r="B28" s="9" t="inlineStr">
        <is>
          <t>BOB</t>
        </is>
      </c>
      <c r="C28" s="9" t="inlineStr">
        <is>
          <t>Poly terry waterproof total encasement protector</t>
        </is>
      </c>
      <c r="D28" s="9" t="inlineStr">
        <is>
          <t>QUEEN</t>
        </is>
      </c>
      <c r="E28" s="9" t="inlineStr">
        <is>
          <t>GPTE50</t>
        </is>
      </c>
      <c r="F28" s="9" t="inlineStr"/>
      <c r="G28" s="9" t="inlineStr">
        <is>
          <t>White</t>
        </is>
      </c>
      <c r="H28" s="9" t="inlineStr">
        <is>
          <t>60x80x13.5”</t>
        </is>
      </c>
      <c r="I28" s="9" t="inlineStr">
        <is>
          <t>27.00X57.10cm</t>
        </is>
      </c>
      <c r="J28" s="9" t="inlineStr">
        <is>
          <t>28X28X9.5cm</t>
        </is>
      </c>
      <c r="K28" s="9" t="inlineStr">
        <is>
          <t>27X27.5X8.7cm</t>
        </is>
      </c>
      <c r="L28" s="9" t="inlineStr"/>
      <c r="M28" s="9" t="inlineStr"/>
      <c r="N28" s="10" t="inlineStr"/>
    </row>
    <row r="29">
      <c r="A29" s="11" t="inlineStr">
        <is>
          <t>FT9</t>
        </is>
      </c>
      <c r="B29" s="11" t="inlineStr">
        <is>
          <t>BOB</t>
        </is>
      </c>
      <c r="C29" s="11" t="inlineStr">
        <is>
          <t>Poly terry waterproof total encasement protector</t>
        </is>
      </c>
      <c r="D29" s="11" t="inlineStr">
        <is>
          <t>KING</t>
        </is>
      </c>
      <c r="E29" s="11" t="inlineStr">
        <is>
          <t>GPTE78</t>
        </is>
      </c>
      <c r="F29" s="11" t="inlineStr"/>
      <c r="G29" s="11" t="inlineStr">
        <is>
          <t>White</t>
        </is>
      </c>
      <c r="H29" s="11" t="inlineStr">
        <is>
          <t>78x80x13.5”</t>
        </is>
      </c>
      <c r="I29" s="11" t="inlineStr">
        <is>
          <t>27.00X58.10cm</t>
        </is>
      </c>
      <c r="J29" s="11" t="inlineStr">
        <is>
          <t>28X28X10.5cm</t>
        </is>
      </c>
      <c r="K29" s="11" t="inlineStr">
        <is>
          <t>27X27.5X9.7cm</t>
        </is>
      </c>
      <c r="L29" s="11" t="inlineStr"/>
      <c r="M29" s="11" t="inlineStr"/>
      <c r="N29" s="10" t="inlineStr"/>
    </row>
    <row r="30">
      <c r="A30" s="9" t="inlineStr">
        <is>
          <t>FT9</t>
        </is>
      </c>
      <c r="B30" s="9" t="inlineStr">
        <is>
          <t>BOB</t>
        </is>
      </c>
      <c r="C30" s="9" t="inlineStr">
        <is>
          <t>Poly terry waterproof total encasement protector</t>
        </is>
      </c>
      <c r="D30" s="9" t="inlineStr">
        <is>
          <t>CAL KING</t>
        </is>
      </c>
      <c r="E30" s="9" t="inlineStr">
        <is>
          <t>GPTE72</t>
        </is>
      </c>
      <c r="F30" s="9" t="inlineStr"/>
      <c r="G30" s="9" t="inlineStr">
        <is>
          <t>White</t>
        </is>
      </c>
      <c r="H30" s="9" t="inlineStr">
        <is>
          <t>72x84X13.5”</t>
        </is>
      </c>
      <c r="I30" s="9" t="inlineStr">
        <is>
          <t>27.00X58.10cm</t>
        </is>
      </c>
      <c r="J30" s="9" t="inlineStr">
        <is>
          <t>28X28X10.5cm</t>
        </is>
      </c>
      <c r="K30" s="9" t="inlineStr">
        <is>
          <t>27X27.5X9.7cm</t>
        </is>
      </c>
      <c r="L30" s="9" t="inlineStr"/>
      <c r="M30" s="9" t="inlineStr"/>
      <c r="N30" s="10" t="inlineStr"/>
    </row>
    <row r="31">
      <c r="A31" s="11" t="inlineStr">
        <is>
          <t>FT9</t>
        </is>
      </c>
      <c r="B31" s="11" t="inlineStr">
        <is>
          <t>BOB</t>
        </is>
      </c>
      <c r="C31" s="11" t="inlineStr">
        <is>
          <t>Poly terry waterproof total encasement protector</t>
        </is>
      </c>
      <c r="D31" s="11" t="inlineStr">
        <is>
          <t>SP CAL KING</t>
        </is>
      </c>
      <c r="E31" s="11" t="inlineStr">
        <is>
          <t>GPTE36</t>
        </is>
      </c>
      <c r="F31" s="11" t="inlineStr"/>
      <c r="G31" s="11" t="inlineStr">
        <is>
          <t>White</t>
        </is>
      </c>
      <c r="H31" s="11" t="inlineStr">
        <is>
          <t>36x84X13.5”</t>
        </is>
      </c>
      <c r="I31" s="11" t="inlineStr">
        <is>
          <t>27.00X54.10cm</t>
        </is>
      </c>
      <c r="J31" s="11" t="inlineStr">
        <is>
          <t>28X28X6.5cm</t>
        </is>
      </c>
      <c r="K31" s="11" t="inlineStr">
        <is>
          <t>27X27.5X5.7cm</t>
        </is>
      </c>
      <c r="L31" s="11" t="inlineStr"/>
      <c r="M31" s="11" t="inlineStr"/>
      <c r="N31" s="10" t="inlineStr"/>
    </row>
    <row r="32">
      <c r="A32" s="9" t="inlineStr">
        <is>
          <t>FT9</t>
        </is>
      </c>
      <c r="B32" s="9" t="inlineStr">
        <is>
          <t>BOB</t>
        </is>
      </c>
      <c r="C32" s="9" t="inlineStr">
        <is>
          <t>Poly terry waterproof total encasement protector</t>
        </is>
      </c>
      <c r="D32" s="9" t="inlineStr">
        <is>
          <t>SPLIT HEAD QUEEN</t>
        </is>
      </c>
      <c r="E32" s="9" t="inlineStr">
        <is>
          <t>GPTE52</t>
        </is>
      </c>
      <c r="F32" s="9" t="inlineStr">
        <is>
          <t>10001727013</t>
        </is>
      </c>
      <c r="G32" s="9" t="inlineStr">
        <is>
          <t>White</t>
        </is>
      </c>
      <c r="H32" s="9" t="inlineStr">
        <is>
          <t>60x80x13.5”</t>
        </is>
      </c>
      <c r="I32" s="9" t="inlineStr">
        <is>
          <t>27.00X57.10cm</t>
        </is>
      </c>
      <c r="J32" s="9" t="inlineStr">
        <is>
          <t>28X28X9.5cm</t>
        </is>
      </c>
      <c r="K32" s="9" t="inlineStr">
        <is>
          <t>27X27.5X8.7cm</t>
        </is>
      </c>
      <c r="L32" s="9" t="n">
        <v>10</v>
      </c>
      <c r="M32" s="9" t="inlineStr">
        <is>
          <t>58*28.5*49</t>
        </is>
      </c>
      <c r="N32" s="10" t="inlineStr"/>
    </row>
    <row r="33">
      <c r="A33" s="11" t="inlineStr">
        <is>
          <t>FT9</t>
        </is>
      </c>
      <c r="B33" s="11" t="inlineStr">
        <is>
          <t>BOB</t>
        </is>
      </c>
      <c r="C33" s="11" t="inlineStr">
        <is>
          <t>Poly terry waterproof total encasement protector</t>
        </is>
      </c>
      <c r="D33" s="11" t="inlineStr">
        <is>
          <t>SPLIT HEAD KING</t>
        </is>
      </c>
      <c r="E33" s="11" t="inlineStr">
        <is>
          <t>GPTE79</t>
        </is>
      </c>
      <c r="F33" s="11" t="inlineStr">
        <is>
          <t>10001727007</t>
        </is>
      </c>
      <c r="G33" s="11" t="inlineStr">
        <is>
          <t>White</t>
        </is>
      </c>
      <c r="H33" s="11" t="inlineStr">
        <is>
          <t>78x80x13.5”</t>
        </is>
      </c>
      <c r="I33" s="11" t="inlineStr">
        <is>
          <t>27.00X58.10cm</t>
        </is>
      </c>
      <c r="J33" s="11" t="inlineStr">
        <is>
          <t>28X28X10.5cm</t>
        </is>
      </c>
      <c r="K33" s="11" t="inlineStr">
        <is>
          <t>27X27.5X9.7cm</t>
        </is>
      </c>
      <c r="L33" s="11" t="n">
        <v>8</v>
      </c>
      <c r="M33" s="11" t="inlineStr">
        <is>
          <t>58*28.5*43</t>
        </is>
      </c>
      <c r="N33" s="10" t="inlineStr"/>
    </row>
    <row r="34">
      <c r="A34" s="9" t="inlineStr">
        <is>
          <t>FT9</t>
        </is>
      </c>
      <c r="B34" s="9" t="inlineStr">
        <is>
          <t>BOB</t>
        </is>
      </c>
      <c r="C34" s="9" t="inlineStr">
        <is>
          <t>Poly terry waterproof total encasement protector</t>
        </is>
      </c>
      <c r="D34" s="9" t="inlineStr">
        <is>
          <t>SLEEPER - TWIN</t>
        </is>
      </c>
      <c r="E34" s="9" t="inlineStr">
        <is>
          <t>GPSE33</t>
        </is>
      </c>
      <c r="F34" s="9" t="inlineStr"/>
      <c r="G34" s="9" t="inlineStr">
        <is>
          <t>White</t>
        </is>
      </c>
      <c r="H34" s="9" t="inlineStr">
        <is>
          <t>34x73x5"</t>
        </is>
      </c>
      <c r="I34" s="9" t="inlineStr">
        <is>
          <t>27.00X54.70cm</t>
        </is>
      </c>
      <c r="J34" s="9" t="inlineStr">
        <is>
          <t>28X28X5cm(est)</t>
        </is>
      </c>
      <c r="K34" s="9" t="inlineStr">
        <is>
          <t>27X27.5X4.5cm</t>
        </is>
      </c>
      <c r="L34" s="9" t="inlineStr"/>
      <c r="M34" s="9" t="inlineStr"/>
      <c r="N34" s="10" t="inlineStr"/>
    </row>
    <row r="35">
      <c r="A35" s="11" t="inlineStr">
        <is>
          <t>FT9</t>
        </is>
      </c>
      <c r="B35" s="11" t="inlineStr">
        <is>
          <t>BOB</t>
        </is>
      </c>
      <c r="C35" s="11" t="inlineStr">
        <is>
          <t>Poly terry waterproof total encasement protector</t>
        </is>
      </c>
      <c r="D35" s="11" t="inlineStr">
        <is>
          <t>SLEEPER - FULL</t>
        </is>
      </c>
      <c r="E35" s="11" t="inlineStr">
        <is>
          <t>GPSE46</t>
        </is>
      </c>
      <c r="F35" s="11" t="inlineStr"/>
      <c r="G35" s="11" t="inlineStr">
        <is>
          <t>White</t>
        </is>
      </c>
      <c r="H35" s="11" t="inlineStr">
        <is>
          <t>54x73x5”</t>
        </is>
      </c>
      <c r="I35" s="11" t="inlineStr">
        <is>
          <t>27.00X54.70cm</t>
        </is>
      </c>
      <c r="J35" s="11" t="inlineStr">
        <is>
          <t>28X28X7cm</t>
        </is>
      </c>
      <c r="K35" s="11" t="inlineStr">
        <is>
          <t>27X27.5X6.5cm</t>
        </is>
      </c>
      <c r="L35" s="11" t="inlineStr"/>
      <c r="M35" s="11" t="inlineStr"/>
      <c r="N35" s="10" t="inlineStr"/>
    </row>
    <row r="36">
      <c r="A36" s="9" t="inlineStr">
        <is>
          <t>FT9</t>
        </is>
      </c>
      <c r="B36" s="9" t="inlineStr">
        <is>
          <t>BOB</t>
        </is>
      </c>
      <c r="C36" s="9" t="inlineStr">
        <is>
          <t>Poly terry waterproof total encasement protector</t>
        </is>
      </c>
      <c r="D36" s="9" t="inlineStr">
        <is>
          <t>SLEEPER - QUEEN</t>
        </is>
      </c>
      <c r="E36" s="9" t="inlineStr">
        <is>
          <t>GPSE50</t>
        </is>
      </c>
      <c r="F36" s="9" t="inlineStr"/>
      <c r="G36" s="9" t="inlineStr">
        <is>
          <t>White</t>
        </is>
      </c>
      <c r="H36" s="9" t="inlineStr">
        <is>
          <t>59x73x5”</t>
        </is>
      </c>
      <c r="I36" s="9" t="inlineStr">
        <is>
          <t>27.00X54.70cm</t>
        </is>
      </c>
      <c r="J36" s="9" t="inlineStr">
        <is>
          <t>28X28X7cm</t>
        </is>
      </c>
      <c r="K36" s="9" t="inlineStr">
        <is>
          <t>27X27.5X6.5cm</t>
        </is>
      </c>
      <c r="L36" s="9" t="inlineStr"/>
      <c r="M36" s="9" t="inlineStr"/>
      <c r="N36" s="10" t="inlineStr"/>
    </row>
  </sheetData>
  <pageMargins left="0.75" right="0.75" top="1" bottom="1" header="0.5" footer="0.5"/>
</worksheet>
</file>

<file path=xl/worksheets/sheet3.xml><?xml version="1.0" encoding="utf-8"?>
<worksheet xmlns="http://schemas.openxmlformats.org/spreadsheetml/2006/main">
  <sheetPr>
    <tabColor rgb="006366F1"/>
    <outlinePr summaryBelow="1" summaryRight="1"/>
    <pageSetUpPr/>
  </sheetPr>
  <dimension ref="A1:N1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12" customWidth="1" min="3" max="3"/>
    <col width="15" customWidth="1" min="4" max="4"/>
    <col width="38" customWidth="1" min="5" max="5"/>
    <col width="12" customWidth="1" min="6" max="6"/>
    <col width="22" customWidth="1" min="7" max="7"/>
    <col width="38" customWidth="1" min="8" max="8"/>
    <col width="12" customWidth="1" min="9" max="9"/>
    <col width="10" customWidth="1" min="10" max="10"/>
    <col width="16" customWidth="1" min="11" max="11"/>
    <col width="14" customWidth="1" min="12" max="12"/>
    <col width="14" customWidth="1" min="13" max="13"/>
    <col width="12" customWidth="1" min="14" max="14"/>
  </cols>
  <sheetData>
    <row r="1" ht="34" customHeight="1">
      <c r="A1" s="7" t="inlineStr">
        <is>
          <t>tech_pack_code</t>
        </is>
      </c>
      <c r="B1" s="7" t="inlineStr">
        <is>
          <t>item_code</t>
        </is>
      </c>
      <c r="C1" s="7" t="inlineStr">
        <is>
          <t>size</t>
        </is>
      </c>
      <c r="D1" s="7" t="inlineStr">
        <is>
          <t>component_type</t>
        </is>
      </c>
      <c r="E1" s="7" t="inlineStr">
        <is>
          <t>fabric_type</t>
        </is>
      </c>
      <c r="F1" s="7" t="inlineStr">
        <is>
          <t>gsm</t>
        </is>
      </c>
      <c r="G1" s="7" t="inlineStr">
        <is>
          <t>construction</t>
        </is>
      </c>
      <c r="H1" s="7" t="inlineStr">
        <is>
          <t>treatment</t>
        </is>
      </c>
      <c r="I1" s="7" t="inlineStr">
        <is>
          <t>color</t>
        </is>
      </c>
      <c r="J1" s="8" t="inlineStr">
        <is>
          <t>width_cm</t>
        </is>
      </c>
      <c r="K1" s="8" t="inlineStr">
        <is>
          <t>consumption_per_unit</t>
        </is>
      </c>
      <c r="L1" s="8" t="inlineStr">
        <is>
          <t>wastage_percent</t>
        </is>
      </c>
      <c r="M1" s="7" t="inlineStr">
        <is>
          <t>total_required</t>
        </is>
      </c>
      <c r="N1" s="12" t="inlineStr">
        <is>
          <t>supplier</t>
        </is>
      </c>
    </row>
    <row r="2">
      <c r="A2" s="9" t="inlineStr">
        <is>
          <t>FT2</t>
        </is>
      </c>
      <c r="B2" s="9" t="inlineStr">
        <is>
          <t>GPFRIOMP33</t>
        </is>
      </c>
      <c r="C2" s="9" t="inlineStr">
        <is>
          <t>TWIN</t>
        </is>
      </c>
      <c r="D2" s="9" t="inlineStr">
        <is>
          <t>Platform</t>
        </is>
      </c>
      <c r="E2" s="9" t="inlineStr">
        <is>
          <t>140gsm - 100% Nylon mica fiber jersey knitted fabric</t>
        </is>
      </c>
      <c r="F2" s="9" t="n">
        <v>140</v>
      </c>
      <c r="G2" s="9" t="inlineStr">
        <is>
          <t>75D</t>
        </is>
      </c>
      <c r="H2" s="9" t="inlineStr">
        <is>
          <t>A) 0.02mmTPU PU Coating in White Color  B)  SILVADUR (TM) 930 Antimicrobial ‐ PRN 98‐10</t>
        </is>
      </c>
      <c r="I2" s="9" t="inlineStr"/>
      <c r="J2" s="10" t="inlineStr"/>
      <c r="K2" s="10" t="inlineStr"/>
      <c r="L2" s="10" t="inlineStr"/>
      <c r="M2" s="13">
        <f>IFERROR(K2*(1+L2/100)*VLOOKUP(B2,'1. Articles (SKUs)'!E:N,10,FALSE),"")</f>
        <v/>
      </c>
      <c r="N2" s="14" t="inlineStr"/>
    </row>
    <row r="3">
      <c r="A3" s="11" t="inlineStr">
        <is>
          <t>FT2</t>
        </is>
      </c>
      <c r="B3" s="11" t="inlineStr">
        <is>
          <t>GPFRIOMP33</t>
        </is>
      </c>
      <c r="C3" s="11" t="inlineStr">
        <is>
          <t>TWIN</t>
        </is>
      </c>
      <c r="D3" s="11" t="inlineStr">
        <is>
          <t>Skirt</t>
        </is>
      </c>
      <c r="E3" s="11" t="inlineStr">
        <is>
          <t>70gsm - 100% Polyester interlock knitted fabric in white</t>
        </is>
      </c>
      <c r="F3" s="11" t="n">
        <v>70</v>
      </c>
      <c r="G3" s="11" t="inlineStr">
        <is>
          <t>33s</t>
        </is>
      </c>
      <c r="H3" s="11" t="inlineStr">
        <is>
          <t>A) 0.02mmTPU PU Coating in White Color  B)  SILVADUR (TM) 930 Antimicrobial ‐ PRN 98‐10</t>
        </is>
      </c>
      <c r="I3" s="11" t="inlineStr">
        <is>
          <t>White</t>
        </is>
      </c>
      <c r="J3" s="10" t="inlineStr"/>
      <c r="K3" s="10" t="inlineStr"/>
      <c r="L3" s="10" t="inlineStr"/>
      <c r="M3" s="13">
        <f>IFERROR(K3*(1+L3/100)*VLOOKUP(B3,'1. Articles (SKUs)'!E:N,10,FALSE),"")</f>
        <v/>
      </c>
      <c r="N3" s="14" t="inlineStr"/>
    </row>
    <row r="4">
      <c r="A4" s="9" t="inlineStr">
        <is>
          <t>FT2</t>
        </is>
      </c>
      <c r="B4" s="9" t="inlineStr">
        <is>
          <t>GPFRIOMP33</t>
        </is>
      </c>
      <c r="C4" s="9" t="inlineStr">
        <is>
          <t>TWIN</t>
        </is>
      </c>
      <c r="D4" s="9" t="inlineStr">
        <is>
          <t>Binding</t>
        </is>
      </c>
      <c r="E4" s="9" t="inlineStr">
        <is>
          <t>70gsm - 100% Polyester Plain weave woven fabric in white color</t>
        </is>
      </c>
      <c r="F4" s="9" t="n">
        <v>70</v>
      </c>
      <c r="G4" s="9" t="inlineStr">
        <is>
          <t>190T</t>
        </is>
      </c>
      <c r="H4" s="9" t="inlineStr"/>
      <c r="I4" s="9" t="inlineStr">
        <is>
          <t>White</t>
        </is>
      </c>
      <c r="J4" s="10" t="inlineStr"/>
      <c r="K4" s="10" t="inlineStr"/>
      <c r="L4" s="10" t="inlineStr"/>
      <c r="M4" s="13">
        <f>IFERROR(K4*(1+L4/100)*VLOOKUP(B4,'1. Articles (SKUs)'!E:N,10,FALSE),"")</f>
        <v/>
      </c>
      <c r="N4" s="14" t="inlineStr"/>
    </row>
    <row r="5">
      <c r="A5" s="11" t="inlineStr">
        <is>
          <t>FT2</t>
        </is>
      </c>
      <c r="B5" s="11" t="inlineStr">
        <is>
          <t>GPFRIOMP38</t>
        </is>
      </c>
      <c r="C5" s="11" t="inlineStr">
        <is>
          <t>TWIN XL</t>
        </is>
      </c>
      <c r="D5" s="11" t="inlineStr">
        <is>
          <t>Platform</t>
        </is>
      </c>
      <c r="E5" s="11" t="inlineStr">
        <is>
          <t>140gsm - 100% Nylon mica fiber jersey knitted fabric</t>
        </is>
      </c>
      <c r="F5" s="11" t="n">
        <v>140</v>
      </c>
      <c r="G5" s="11" t="inlineStr">
        <is>
          <t>75D</t>
        </is>
      </c>
      <c r="H5" s="11" t="inlineStr">
        <is>
          <t>A) 0.02mmTPU PU Coating in White Color  B)  SILVADUR (TM) 930 Antimicrobial ‐ PRN 98‐10</t>
        </is>
      </c>
      <c r="I5" s="11" t="inlineStr"/>
      <c r="J5" s="10" t="inlineStr"/>
      <c r="K5" s="10" t="inlineStr"/>
      <c r="L5" s="10" t="inlineStr"/>
      <c r="M5" s="13">
        <f>IFERROR(K5*(1+L5/100)*VLOOKUP(B5,'1. Articles (SKUs)'!E:N,10,FALSE),"")</f>
        <v/>
      </c>
      <c r="N5" s="14" t="inlineStr"/>
    </row>
    <row r="6">
      <c r="A6" s="9" t="inlineStr">
        <is>
          <t>FT2</t>
        </is>
      </c>
      <c r="B6" s="9" t="inlineStr">
        <is>
          <t>GPFRIOMP38</t>
        </is>
      </c>
      <c r="C6" s="9" t="inlineStr">
        <is>
          <t>TWIN XL</t>
        </is>
      </c>
      <c r="D6" s="9" t="inlineStr">
        <is>
          <t>Skirt</t>
        </is>
      </c>
      <c r="E6" s="9" t="inlineStr">
        <is>
          <t>70gsm - 100% Polyester interlock knitted fabric in white</t>
        </is>
      </c>
      <c r="F6" s="9" t="n">
        <v>70</v>
      </c>
      <c r="G6" s="9" t="inlineStr">
        <is>
          <t>33s</t>
        </is>
      </c>
      <c r="H6" s="9" t="inlineStr">
        <is>
          <t>A) 0.02mmTPU PU Coating in White Color  B)  SILVADUR (TM) 930 Antimicrobial ‐ PRN 98‐10</t>
        </is>
      </c>
      <c r="I6" s="9" t="inlineStr">
        <is>
          <t>White</t>
        </is>
      </c>
      <c r="J6" s="10" t="inlineStr"/>
      <c r="K6" s="10" t="inlineStr"/>
      <c r="L6" s="10" t="inlineStr"/>
      <c r="M6" s="13">
        <f>IFERROR(K6*(1+L6/100)*VLOOKUP(B6,'1. Articles (SKUs)'!E:N,10,FALSE),"")</f>
        <v/>
      </c>
      <c r="N6" s="14" t="inlineStr"/>
    </row>
    <row r="7">
      <c r="A7" s="11" t="inlineStr">
        <is>
          <t>FT2</t>
        </is>
      </c>
      <c r="B7" s="11" t="inlineStr">
        <is>
          <t>GPFRIOMP38</t>
        </is>
      </c>
      <c r="C7" s="11" t="inlineStr">
        <is>
          <t>TWIN XL</t>
        </is>
      </c>
      <c r="D7" s="11" t="inlineStr">
        <is>
          <t>Binding</t>
        </is>
      </c>
      <c r="E7" s="11" t="inlineStr">
        <is>
          <t>70gsm - 100% Polyester Plain weave woven fabric in white color</t>
        </is>
      </c>
      <c r="F7" s="11" t="n">
        <v>70</v>
      </c>
      <c r="G7" s="11" t="inlineStr">
        <is>
          <t>190T</t>
        </is>
      </c>
      <c r="H7" s="11" t="inlineStr"/>
      <c r="I7" s="11" t="inlineStr">
        <is>
          <t>White</t>
        </is>
      </c>
      <c r="J7" s="10" t="inlineStr"/>
      <c r="K7" s="10" t="inlineStr"/>
      <c r="L7" s="10" t="inlineStr"/>
      <c r="M7" s="13">
        <f>IFERROR(K7*(1+L7/100)*VLOOKUP(B7,'1. Articles (SKUs)'!E:N,10,FALSE),"")</f>
        <v/>
      </c>
      <c r="N7" s="14" t="inlineStr"/>
    </row>
    <row r="8">
      <c r="A8" s="9" t="inlineStr">
        <is>
          <t>FT2</t>
        </is>
      </c>
      <c r="B8" s="9" t="inlineStr">
        <is>
          <t>GPFRIOMP46</t>
        </is>
      </c>
      <c r="C8" s="9" t="inlineStr">
        <is>
          <t>FULL</t>
        </is>
      </c>
      <c r="D8" s="9" t="inlineStr">
        <is>
          <t>Platform</t>
        </is>
      </c>
      <c r="E8" s="9" t="inlineStr">
        <is>
          <t>140gsm - 100% Nylon mica fiber jersey knitted fabric</t>
        </is>
      </c>
      <c r="F8" s="9" t="n">
        <v>140</v>
      </c>
      <c r="G8" s="9" t="inlineStr">
        <is>
          <t>75D</t>
        </is>
      </c>
      <c r="H8" s="9" t="inlineStr">
        <is>
          <t>A) 0.02mmTPU PU Coating in White Color  B)  SILVADUR (TM) 930 Antimicrobial ‐ PRN 98‐10</t>
        </is>
      </c>
      <c r="I8" s="9" t="inlineStr"/>
      <c r="J8" s="10" t="inlineStr"/>
      <c r="K8" s="10" t="inlineStr"/>
      <c r="L8" s="10" t="inlineStr"/>
      <c r="M8" s="13">
        <f>IFERROR(K8*(1+L8/100)*VLOOKUP(B8,'1. Articles (SKUs)'!E:N,10,FALSE),"")</f>
        <v/>
      </c>
      <c r="N8" s="14" t="inlineStr"/>
    </row>
    <row r="9">
      <c r="A9" s="11" t="inlineStr">
        <is>
          <t>FT2</t>
        </is>
      </c>
      <c r="B9" s="11" t="inlineStr">
        <is>
          <t>GPFRIOMP46</t>
        </is>
      </c>
      <c r="C9" s="11" t="inlineStr">
        <is>
          <t>FULL</t>
        </is>
      </c>
      <c r="D9" s="11" t="inlineStr">
        <is>
          <t>Skirt</t>
        </is>
      </c>
      <c r="E9" s="11" t="inlineStr">
        <is>
          <t>70gsm - 100% Polyester interlock knitted fabric in white</t>
        </is>
      </c>
      <c r="F9" s="11" t="n">
        <v>70</v>
      </c>
      <c r="G9" s="11" t="inlineStr">
        <is>
          <t>33s</t>
        </is>
      </c>
      <c r="H9" s="11" t="inlineStr">
        <is>
          <t>A) 0.02mmTPU PU Coating in White Color  B)  SILVADUR (TM) 930 Antimicrobial ‐ PRN 98‐10</t>
        </is>
      </c>
      <c r="I9" s="11" t="inlineStr">
        <is>
          <t>White</t>
        </is>
      </c>
      <c r="J9" s="10" t="inlineStr"/>
      <c r="K9" s="10" t="inlineStr"/>
      <c r="L9" s="10" t="inlineStr"/>
      <c r="M9" s="13">
        <f>IFERROR(K9*(1+L9/100)*VLOOKUP(B9,'1. Articles (SKUs)'!E:N,10,FALSE),"")</f>
        <v/>
      </c>
      <c r="N9" s="14" t="inlineStr"/>
    </row>
    <row r="10">
      <c r="A10" s="9" t="inlineStr">
        <is>
          <t>FT2</t>
        </is>
      </c>
      <c r="B10" s="9" t="inlineStr">
        <is>
          <t>GPFRIOMP46</t>
        </is>
      </c>
      <c r="C10" s="9" t="inlineStr">
        <is>
          <t>FULL</t>
        </is>
      </c>
      <c r="D10" s="9" t="inlineStr">
        <is>
          <t>Binding</t>
        </is>
      </c>
      <c r="E10" s="9" t="inlineStr">
        <is>
          <t>70gsm - 100% Polyester Plain weave woven fabric in white color</t>
        </is>
      </c>
      <c r="F10" s="9" t="n">
        <v>70</v>
      </c>
      <c r="G10" s="9" t="inlineStr">
        <is>
          <t>190T</t>
        </is>
      </c>
      <c r="H10" s="9" t="inlineStr"/>
      <c r="I10" s="9" t="inlineStr">
        <is>
          <t>White</t>
        </is>
      </c>
      <c r="J10" s="10" t="inlineStr"/>
      <c r="K10" s="10" t="inlineStr"/>
      <c r="L10" s="10" t="inlineStr"/>
      <c r="M10" s="13">
        <f>IFERROR(K10*(1+L10/100)*VLOOKUP(B10,'1. Articles (SKUs)'!E:N,10,FALSE),"")</f>
        <v/>
      </c>
      <c r="N10" s="14" t="inlineStr"/>
    </row>
    <row r="11">
      <c r="A11" s="11" t="inlineStr">
        <is>
          <t>FT2</t>
        </is>
      </c>
      <c r="B11" s="11" t="inlineStr">
        <is>
          <t>GPFRIOMP80</t>
        </is>
      </c>
      <c r="C11" s="11" t="inlineStr">
        <is>
          <t>FULL XL</t>
        </is>
      </c>
      <c r="D11" s="11" t="inlineStr">
        <is>
          <t>Platform</t>
        </is>
      </c>
      <c r="E11" s="11" t="inlineStr">
        <is>
          <t>140gsm - 100% Nylon mica fiber jersey knitted fabric</t>
        </is>
      </c>
      <c r="F11" s="11" t="n">
        <v>140</v>
      </c>
      <c r="G11" s="11" t="inlineStr">
        <is>
          <t>75D</t>
        </is>
      </c>
      <c r="H11" s="11" t="inlineStr">
        <is>
          <t>A) 0.02mmTPU PU Coating in White Color  B)  SILVADUR (TM) 930 Antimicrobial ‐ PRN 98‐10</t>
        </is>
      </c>
      <c r="I11" s="11" t="inlineStr"/>
      <c r="J11" s="10" t="inlineStr"/>
      <c r="K11" s="10" t="inlineStr"/>
      <c r="L11" s="10" t="inlineStr"/>
      <c r="M11" s="13">
        <f>IFERROR(K11*(1+L11/100)*VLOOKUP(B11,'1. Articles (SKUs)'!E:N,10,FALSE),"")</f>
        <v/>
      </c>
      <c r="N11" s="14" t="inlineStr"/>
    </row>
    <row r="12">
      <c r="A12" s="9" t="inlineStr">
        <is>
          <t>FT2</t>
        </is>
      </c>
      <c r="B12" s="9" t="inlineStr">
        <is>
          <t>GPFRIOMP80</t>
        </is>
      </c>
      <c r="C12" s="9" t="inlineStr">
        <is>
          <t>FULL XL</t>
        </is>
      </c>
      <c r="D12" s="9" t="inlineStr">
        <is>
          <t>Skirt</t>
        </is>
      </c>
      <c r="E12" s="9" t="inlineStr">
        <is>
          <t>70gsm - 100% Polyester interlock knitted fabric in white</t>
        </is>
      </c>
      <c r="F12" s="9" t="n">
        <v>70</v>
      </c>
      <c r="G12" s="9" t="inlineStr">
        <is>
          <t>33s</t>
        </is>
      </c>
      <c r="H12" s="9" t="inlineStr">
        <is>
          <t>A) 0.02mmTPU PU Coating in White Color  B)  SILVADUR (TM) 930 Antimicrobial ‐ PRN 98‐10</t>
        </is>
      </c>
      <c r="I12" s="9" t="inlineStr">
        <is>
          <t>White</t>
        </is>
      </c>
      <c r="J12" s="10" t="inlineStr"/>
      <c r="K12" s="10" t="inlineStr"/>
      <c r="L12" s="10" t="inlineStr"/>
      <c r="M12" s="13">
        <f>IFERROR(K12*(1+L12/100)*VLOOKUP(B12,'1. Articles (SKUs)'!E:N,10,FALSE),"")</f>
        <v/>
      </c>
      <c r="N12" s="14" t="inlineStr"/>
    </row>
    <row r="13">
      <c r="A13" s="11" t="inlineStr">
        <is>
          <t>FT2</t>
        </is>
      </c>
      <c r="B13" s="11" t="inlineStr">
        <is>
          <t>GPFRIOMP80</t>
        </is>
      </c>
      <c r="C13" s="11" t="inlineStr">
        <is>
          <t>FULL XL</t>
        </is>
      </c>
      <c r="D13" s="11" t="inlineStr">
        <is>
          <t>Binding</t>
        </is>
      </c>
      <c r="E13" s="11" t="inlineStr">
        <is>
          <t>70gsm - 100% Polyester Plain weave woven fabric in white color</t>
        </is>
      </c>
      <c r="F13" s="11" t="n">
        <v>70</v>
      </c>
      <c r="G13" s="11" t="inlineStr">
        <is>
          <t>190T</t>
        </is>
      </c>
      <c r="H13" s="11" t="inlineStr"/>
      <c r="I13" s="11" t="inlineStr">
        <is>
          <t>White</t>
        </is>
      </c>
      <c r="J13" s="10" t="inlineStr"/>
      <c r="K13" s="10" t="inlineStr"/>
      <c r="L13" s="10" t="inlineStr"/>
      <c r="M13" s="13">
        <f>IFERROR(K13*(1+L13/100)*VLOOKUP(B13,'1. Articles (SKUs)'!E:N,10,FALSE),"")</f>
        <v/>
      </c>
      <c r="N13" s="14" t="inlineStr"/>
    </row>
    <row r="14">
      <c r="A14" s="9" t="inlineStr">
        <is>
          <t>FT2</t>
        </is>
      </c>
      <c r="B14" s="9" t="inlineStr">
        <is>
          <t>GPFRIOMP50</t>
        </is>
      </c>
      <c r="C14" s="9" t="inlineStr">
        <is>
          <t>QUEEN</t>
        </is>
      </c>
      <c r="D14" s="9" t="inlineStr">
        <is>
          <t>Platform</t>
        </is>
      </c>
      <c r="E14" s="9" t="inlineStr">
        <is>
          <t>140gsm - 100% Nylon mica fiber jersey knitted fabric</t>
        </is>
      </c>
      <c r="F14" s="9" t="n">
        <v>140</v>
      </c>
      <c r="G14" s="9" t="inlineStr">
        <is>
          <t>75D</t>
        </is>
      </c>
      <c r="H14" s="9" t="inlineStr">
        <is>
          <t>A) 0.02mmTPU PU Coating in White Color  B)  SILVADUR (TM) 930 Antimicrobial ‐ PRN 98‐10</t>
        </is>
      </c>
      <c r="I14" s="9" t="inlineStr"/>
      <c r="J14" s="10" t="inlineStr"/>
      <c r="K14" s="10" t="inlineStr"/>
      <c r="L14" s="10" t="inlineStr"/>
      <c r="M14" s="13">
        <f>IFERROR(K14*(1+L14/100)*VLOOKUP(B14,'1. Articles (SKUs)'!E:N,10,FALSE),"")</f>
        <v/>
      </c>
      <c r="N14" s="14" t="inlineStr"/>
    </row>
    <row r="15">
      <c r="A15" s="11" t="inlineStr">
        <is>
          <t>FT2</t>
        </is>
      </c>
      <c r="B15" s="11" t="inlineStr">
        <is>
          <t>GPFRIOMP50</t>
        </is>
      </c>
      <c r="C15" s="11" t="inlineStr">
        <is>
          <t>QUEEN</t>
        </is>
      </c>
      <c r="D15" s="11" t="inlineStr">
        <is>
          <t>Skirt</t>
        </is>
      </c>
      <c r="E15" s="11" t="inlineStr">
        <is>
          <t>70gsm - 100% Polyester interlock knitted fabric in white</t>
        </is>
      </c>
      <c r="F15" s="11" t="n">
        <v>70</v>
      </c>
      <c r="G15" s="11" t="inlineStr">
        <is>
          <t>33s</t>
        </is>
      </c>
      <c r="H15" s="11" t="inlineStr">
        <is>
          <t>A) 0.02mmTPU PU Coating in White Color  B)  SILVADUR (TM) 930 Antimicrobial ‐ PRN 98‐10</t>
        </is>
      </c>
      <c r="I15" s="11" t="inlineStr">
        <is>
          <t>White</t>
        </is>
      </c>
      <c r="J15" s="10" t="inlineStr"/>
      <c r="K15" s="10" t="inlineStr"/>
      <c r="L15" s="10" t="inlineStr"/>
      <c r="M15" s="13">
        <f>IFERROR(K15*(1+L15/100)*VLOOKUP(B15,'1. Articles (SKUs)'!E:N,10,FALSE),"")</f>
        <v/>
      </c>
      <c r="N15" s="14" t="inlineStr"/>
    </row>
    <row r="16">
      <c r="A16" s="9" t="inlineStr">
        <is>
          <t>FT2</t>
        </is>
      </c>
      <c r="B16" s="9" t="inlineStr">
        <is>
          <t>GPFRIOMP50</t>
        </is>
      </c>
      <c r="C16" s="9" t="inlineStr">
        <is>
          <t>QUEEN</t>
        </is>
      </c>
      <c r="D16" s="9" t="inlineStr">
        <is>
          <t>Binding</t>
        </is>
      </c>
      <c r="E16" s="9" t="inlineStr">
        <is>
          <t>70gsm - 100% Polyester Plain weave woven fabric in white color</t>
        </is>
      </c>
      <c r="F16" s="9" t="n">
        <v>70</v>
      </c>
      <c r="G16" s="9" t="inlineStr">
        <is>
          <t>190T</t>
        </is>
      </c>
      <c r="H16" s="9" t="inlineStr"/>
      <c r="I16" s="9" t="inlineStr">
        <is>
          <t>White</t>
        </is>
      </c>
      <c r="J16" s="10" t="inlineStr"/>
      <c r="K16" s="10" t="inlineStr"/>
      <c r="L16" s="10" t="inlineStr"/>
      <c r="M16" s="13">
        <f>IFERROR(K16*(1+L16/100)*VLOOKUP(B16,'1. Articles (SKUs)'!E:N,10,FALSE),"")</f>
        <v/>
      </c>
      <c r="N16" s="14" t="inlineStr"/>
    </row>
    <row r="17">
      <c r="A17" s="11" t="inlineStr">
        <is>
          <t>FT2</t>
        </is>
      </c>
      <c r="B17" s="11" t="inlineStr">
        <is>
          <t>GPFRIOMP78</t>
        </is>
      </c>
      <c r="C17" s="11" t="inlineStr">
        <is>
          <t>KING</t>
        </is>
      </c>
      <c r="D17" s="11" t="inlineStr">
        <is>
          <t>Platform</t>
        </is>
      </c>
      <c r="E17" s="11" t="inlineStr">
        <is>
          <t>140gsm - 100% Nylon mica fiber jersey knitted fabric</t>
        </is>
      </c>
      <c r="F17" s="11" t="n">
        <v>140</v>
      </c>
      <c r="G17" s="11" t="inlineStr">
        <is>
          <t>75D</t>
        </is>
      </c>
      <c r="H17" s="11" t="inlineStr">
        <is>
          <t>A) 0.02mmTPU PU Coating in White Color  B)  SILVADUR (TM) 930 Antimicrobial ‐ PRN 98‐10</t>
        </is>
      </c>
      <c r="I17" s="11" t="inlineStr"/>
      <c r="J17" s="10" t="inlineStr"/>
      <c r="K17" s="10" t="inlineStr"/>
      <c r="L17" s="10" t="inlineStr"/>
      <c r="M17" s="13">
        <f>IFERROR(K17*(1+L17/100)*VLOOKUP(B17,'1. Articles (SKUs)'!E:N,10,FALSE),"")</f>
        <v/>
      </c>
      <c r="N17" s="14" t="inlineStr"/>
    </row>
    <row r="18">
      <c r="A18" s="9" t="inlineStr">
        <is>
          <t>FT2</t>
        </is>
      </c>
      <c r="B18" s="9" t="inlineStr">
        <is>
          <t>GPFRIOMP78</t>
        </is>
      </c>
      <c r="C18" s="9" t="inlineStr">
        <is>
          <t>KING</t>
        </is>
      </c>
      <c r="D18" s="9" t="inlineStr">
        <is>
          <t>Skirt</t>
        </is>
      </c>
      <c r="E18" s="9" t="inlineStr">
        <is>
          <t>70gsm - 100% Polyester interlock knitted fabric in white</t>
        </is>
      </c>
      <c r="F18" s="9" t="n">
        <v>70</v>
      </c>
      <c r="G18" s="9" t="inlineStr">
        <is>
          <t>33s</t>
        </is>
      </c>
      <c r="H18" s="9" t="inlineStr">
        <is>
          <t>A) 0.02mmTPU PU Coating in White Color  B)  SILVADUR (TM) 930 Antimicrobial ‐ PRN 98‐10</t>
        </is>
      </c>
      <c r="I18" s="9" t="inlineStr">
        <is>
          <t>White</t>
        </is>
      </c>
      <c r="J18" s="10" t="inlineStr"/>
      <c r="K18" s="10" t="inlineStr"/>
      <c r="L18" s="10" t="inlineStr"/>
      <c r="M18" s="13">
        <f>IFERROR(K18*(1+L18/100)*VLOOKUP(B18,'1. Articles (SKUs)'!E:N,10,FALSE),"")</f>
        <v/>
      </c>
      <c r="N18" s="14" t="inlineStr"/>
    </row>
    <row r="19">
      <c r="A19" s="11" t="inlineStr">
        <is>
          <t>FT2</t>
        </is>
      </c>
      <c r="B19" s="11" t="inlineStr">
        <is>
          <t>GPFRIOMP78</t>
        </is>
      </c>
      <c r="C19" s="11" t="inlineStr">
        <is>
          <t>KING</t>
        </is>
      </c>
      <c r="D19" s="11" t="inlineStr">
        <is>
          <t>Binding</t>
        </is>
      </c>
      <c r="E19" s="11" t="inlineStr">
        <is>
          <t>70gsm - 100% Polyester Plain weave woven fabric in white color</t>
        </is>
      </c>
      <c r="F19" s="11" t="n">
        <v>70</v>
      </c>
      <c r="G19" s="11" t="inlineStr">
        <is>
          <t>190T</t>
        </is>
      </c>
      <c r="H19" s="11" t="inlineStr"/>
      <c r="I19" s="11" t="inlineStr">
        <is>
          <t>White</t>
        </is>
      </c>
      <c r="J19" s="10" t="inlineStr"/>
      <c r="K19" s="10" t="inlineStr"/>
      <c r="L19" s="10" t="inlineStr"/>
      <c r="M19" s="13">
        <f>IFERROR(K19*(1+L19/100)*VLOOKUP(B19,'1. Articles (SKUs)'!E:N,10,FALSE),"")</f>
        <v/>
      </c>
      <c r="N19" s="14" t="inlineStr"/>
    </row>
    <row r="20">
      <c r="A20" s="9" t="inlineStr">
        <is>
          <t>FT2</t>
        </is>
      </c>
      <c r="B20" s="9" t="inlineStr">
        <is>
          <t>GPFRIOMP72</t>
        </is>
      </c>
      <c r="C20" s="9" t="inlineStr">
        <is>
          <t>CAL KING</t>
        </is>
      </c>
      <c r="D20" s="9" t="inlineStr">
        <is>
          <t>Platform</t>
        </is>
      </c>
      <c r="E20" s="9" t="inlineStr">
        <is>
          <t>140gsm - 100% Nylon mica fiber jersey knitted fabric</t>
        </is>
      </c>
      <c r="F20" s="9" t="n">
        <v>140</v>
      </c>
      <c r="G20" s="9" t="inlineStr">
        <is>
          <t>75D</t>
        </is>
      </c>
      <c r="H20" s="9" t="inlineStr">
        <is>
          <t>A) 0.02mmTPU PU Coating in White Color  B)  SILVADUR (TM) 930 Antimicrobial ‐ PRN 98‐10</t>
        </is>
      </c>
      <c r="I20" s="9" t="inlineStr"/>
      <c r="J20" s="10" t="inlineStr"/>
      <c r="K20" s="10" t="inlineStr"/>
      <c r="L20" s="10" t="inlineStr"/>
      <c r="M20" s="13">
        <f>IFERROR(K20*(1+L20/100)*VLOOKUP(B20,'1. Articles (SKUs)'!E:N,10,FALSE),"")</f>
        <v/>
      </c>
      <c r="N20" s="14" t="inlineStr"/>
    </row>
    <row r="21">
      <c r="A21" s="11" t="inlineStr">
        <is>
          <t>FT2</t>
        </is>
      </c>
      <c r="B21" s="11" t="inlineStr">
        <is>
          <t>GPFRIOMP72</t>
        </is>
      </c>
      <c r="C21" s="11" t="inlineStr">
        <is>
          <t>CAL KING</t>
        </is>
      </c>
      <c r="D21" s="11" t="inlineStr">
        <is>
          <t>Skirt</t>
        </is>
      </c>
      <c r="E21" s="11" t="inlineStr">
        <is>
          <t>70gsm - 100% Polyester interlock knitted fabric in white</t>
        </is>
      </c>
      <c r="F21" s="11" t="n">
        <v>70</v>
      </c>
      <c r="G21" s="11" t="inlineStr">
        <is>
          <t>33s</t>
        </is>
      </c>
      <c r="H21" s="11" t="inlineStr">
        <is>
          <t>A) 0.02mmTPU PU Coating in White Color  B)  SILVADUR (TM) 930 Antimicrobial ‐ PRN 98‐10</t>
        </is>
      </c>
      <c r="I21" s="11" t="inlineStr">
        <is>
          <t>White</t>
        </is>
      </c>
      <c r="J21" s="10" t="inlineStr"/>
      <c r="K21" s="10" t="inlineStr"/>
      <c r="L21" s="10" t="inlineStr"/>
      <c r="M21" s="13">
        <f>IFERROR(K21*(1+L21/100)*VLOOKUP(B21,'1. Articles (SKUs)'!E:N,10,FALSE),"")</f>
        <v/>
      </c>
      <c r="N21" s="14" t="inlineStr"/>
    </row>
    <row r="22">
      <c r="A22" s="9" t="inlineStr">
        <is>
          <t>FT2</t>
        </is>
      </c>
      <c r="B22" s="9" t="inlineStr">
        <is>
          <t>GPFRIOMP72</t>
        </is>
      </c>
      <c r="C22" s="9" t="inlineStr">
        <is>
          <t>CAL KING</t>
        </is>
      </c>
      <c r="D22" s="9" t="inlineStr">
        <is>
          <t>Binding</t>
        </is>
      </c>
      <c r="E22" s="9" t="inlineStr">
        <is>
          <t>70gsm - 100% Polyester Plain weave woven fabric in white color</t>
        </is>
      </c>
      <c r="F22" s="9" t="n">
        <v>70</v>
      </c>
      <c r="G22" s="9" t="inlineStr">
        <is>
          <t>190T</t>
        </is>
      </c>
      <c r="H22" s="9" t="inlineStr"/>
      <c r="I22" s="9" t="inlineStr">
        <is>
          <t>White</t>
        </is>
      </c>
      <c r="J22" s="10" t="inlineStr"/>
      <c r="K22" s="10" t="inlineStr"/>
      <c r="L22" s="10" t="inlineStr"/>
      <c r="M22" s="13">
        <f>IFERROR(K22*(1+L22/100)*VLOOKUP(B22,'1. Articles (SKUs)'!E:N,10,FALSE),"")</f>
        <v/>
      </c>
      <c r="N22" s="14" t="inlineStr"/>
    </row>
    <row r="23">
      <c r="A23" s="11" t="inlineStr">
        <is>
          <t>FT2</t>
        </is>
      </c>
      <c r="B23" s="11" t="inlineStr">
        <is>
          <t>GPFRIOMP36</t>
        </is>
      </c>
      <c r="C23" s="11" t="inlineStr">
        <is>
          <t>SPLIT  CAL KING</t>
        </is>
      </c>
      <c r="D23" s="11" t="inlineStr">
        <is>
          <t>Platform</t>
        </is>
      </c>
      <c r="E23" s="11" t="inlineStr">
        <is>
          <t>140gsm - 100% Nylon mica fiber jersey knitted fabric</t>
        </is>
      </c>
      <c r="F23" s="11" t="n">
        <v>140</v>
      </c>
      <c r="G23" s="11" t="inlineStr">
        <is>
          <t>75D</t>
        </is>
      </c>
      <c r="H23" s="11" t="inlineStr">
        <is>
          <t>A) 0.02mmTPU PU Coating in White Color  B)  SILVADUR (TM) 930 Antimicrobial ‐ PRN 98‐10</t>
        </is>
      </c>
      <c r="I23" s="11" t="inlineStr"/>
      <c r="J23" s="10" t="inlineStr"/>
      <c r="K23" s="10" t="inlineStr"/>
      <c r="L23" s="10" t="inlineStr"/>
      <c r="M23" s="13">
        <f>IFERROR(K23*(1+L23/100)*VLOOKUP(B23,'1. Articles (SKUs)'!E:N,10,FALSE),"")</f>
        <v/>
      </c>
      <c r="N23" s="14" t="inlineStr"/>
    </row>
    <row r="24">
      <c r="A24" s="9" t="inlineStr">
        <is>
          <t>FT2</t>
        </is>
      </c>
      <c r="B24" s="9" t="inlineStr">
        <is>
          <t>GPFRIOMP36</t>
        </is>
      </c>
      <c r="C24" s="9" t="inlineStr">
        <is>
          <t>SPLIT  CAL KING</t>
        </is>
      </c>
      <c r="D24" s="9" t="inlineStr">
        <is>
          <t>Skirt</t>
        </is>
      </c>
      <c r="E24" s="9" t="inlineStr">
        <is>
          <t>70gsm - 100% Polyester interlock knitted fabric in white</t>
        </is>
      </c>
      <c r="F24" s="9" t="n">
        <v>70</v>
      </c>
      <c r="G24" s="9" t="inlineStr">
        <is>
          <t>33s</t>
        </is>
      </c>
      <c r="H24" s="9" t="inlineStr">
        <is>
          <t>A) 0.02mmTPU PU Coating in White Color  B)  SILVADUR (TM) 930 Antimicrobial ‐ PRN 98‐10</t>
        </is>
      </c>
      <c r="I24" s="9" t="inlineStr">
        <is>
          <t>White</t>
        </is>
      </c>
      <c r="J24" s="10" t="inlineStr"/>
      <c r="K24" s="10" t="inlineStr"/>
      <c r="L24" s="10" t="inlineStr"/>
      <c r="M24" s="13">
        <f>IFERROR(K24*(1+L24/100)*VLOOKUP(B24,'1. Articles (SKUs)'!E:N,10,FALSE),"")</f>
        <v/>
      </c>
      <c r="N24" s="14" t="inlineStr"/>
    </row>
    <row r="25">
      <c r="A25" s="11" t="inlineStr">
        <is>
          <t>FT2</t>
        </is>
      </c>
      <c r="B25" s="11" t="inlineStr">
        <is>
          <t>GPFRIOMP36</t>
        </is>
      </c>
      <c r="C25" s="11" t="inlineStr">
        <is>
          <t>SPLIT  CAL KING</t>
        </is>
      </c>
      <c r="D25" s="11" t="inlineStr">
        <is>
          <t>Binding</t>
        </is>
      </c>
      <c r="E25" s="11" t="inlineStr">
        <is>
          <t>70gsm - 100% Polyester Plain weave woven fabric in white color</t>
        </is>
      </c>
      <c r="F25" s="11" t="n">
        <v>70</v>
      </c>
      <c r="G25" s="11" t="inlineStr">
        <is>
          <t>190T</t>
        </is>
      </c>
      <c r="H25" s="11" t="inlineStr"/>
      <c r="I25" s="11" t="inlineStr">
        <is>
          <t>White</t>
        </is>
      </c>
      <c r="J25" s="10" t="inlineStr"/>
      <c r="K25" s="10" t="inlineStr"/>
      <c r="L25" s="10" t="inlineStr"/>
      <c r="M25" s="13">
        <f>IFERROR(K25*(1+L25/100)*VLOOKUP(B25,'1. Articles (SKUs)'!E:N,10,FALSE),"")</f>
        <v/>
      </c>
      <c r="N25" s="14" t="inlineStr"/>
    </row>
    <row r="26">
      <c r="A26" s="9" t="inlineStr">
        <is>
          <t>FT2</t>
        </is>
      </c>
      <c r="B26" s="9" t="inlineStr">
        <is>
          <t>GPFRIOMP52</t>
        </is>
      </c>
      <c r="C26" s="9" t="inlineStr">
        <is>
          <t>SPLIT HEAD QUEEN</t>
        </is>
      </c>
      <c r="D26" s="9" t="inlineStr">
        <is>
          <t>Platform</t>
        </is>
      </c>
      <c r="E26" s="9" t="inlineStr">
        <is>
          <t>140gsm - 100% Nylon mica fiber jersey knitted fabric</t>
        </is>
      </c>
      <c r="F26" s="9" t="n">
        <v>140</v>
      </c>
      <c r="G26" s="9" t="inlineStr">
        <is>
          <t>75D</t>
        </is>
      </c>
      <c r="H26" s="9" t="inlineStr">
        <is>
          <t>A) 0.02mmTPU PU Coating in White Color  B)  SILVADUR (TM) 930 Antimicrobial ‐ PRN 98‐10</t>
        </is>
      </c>
      <c r="I26" s="9" t="inlineStr"/>
      <c r="J26" s="10" t="inlineStr"/>
      <c r="K26" s="10" t="inlineStr"/>
      <c r="L26" s="10" t="inlineStr"/>
      <c r="M26" s="13">
        <f>IFERROR(K26*(1+L26/100)*VLOOKUP(B26,'1. Articles (SKUs)'!E:N,10,FALSE),"")</f>
        <v/>
      </c>
      <c r="N26" s="14" t="inlineStr"/>
    </row>
    <row r="27">
      <c r="A27" s="11" t="inlineStr">
        <is>
          <t>FT2</t>
        </is>
      </c>
      <c r="B27" s="11" t="inlineStr">
        <is>
          <t>GPFRIOMP52</t>
        </is>
      </c>
      <c r="C27" s="11" t="inlineStr">
        <is>
          <t>SPLIT HEAD QUEEN</t>
        </is>
      </c>
      <c r="D27" s="11" t="inlineStr">
        <is>
          <t>Skirt</t>
        </is>
      </c>
      <c r="E27" s="11" t="inlineStr">
        <is>
          <t>70gsm - 100% Polyester interlock knitted fabric in white</t>
        </is>
      </c>
      <c r="F27" s="11" t="n">
        <v>70</v>
      </c>
      <c r="G27" s="11" t="inlineStr">
        <is>
          <t>33s</t>
        </is>
      </c>
      <c r="H27" s="11" t="inlineStr">
        <is>
          <t>A) 0.02mmTPU PU Coating in White Color  B)  SILVADUR (TM) 930 Antimicrobial ‐ PRN 98‐10</t>
        </is>
      </c>
      <c r="I27" s="11" t="inlineStr">
        <is>
          <t>White</t>
        </is>
      </c>
      <c r="J27" s="10" t="inlineStr"/>
      <c r="K27" s="10" t="inlineStr"/>
      <c r="L27" s="10" t="inlineStr"/>
      <c r="M27" s="13">
        <f>IFERROR(K27*(1+L27/100)*VLOOKUP(B27,'1. Articles (SKUs)'!E:N,10,FALSE),"")</f>
        <v/>
      </c>
      <c r="N27" s="14" t="inlineStr"/>
    </row>
    <row r="28">
      <c r="A28" s="9" t="inlineStr">
        <is>
          <t>FT2</t>
        </is>
      </c>
      <c r="B28" s="9" t="inlineStr">
        <is>
          <t>GPFRIOMP52</t>
        </is>
      </c>
      <c r="C28" s="9" t="inlineStr">
        <is>
          <t>SPLIT HEAD QUEEN</t>
        </is>
      </c>
      <c r="D28" s="9" t="inlineStr">
        <is>
          <t>Binding</t>
        </is>
      </c>
      <c r="E28" s="9" t="inlineStr">
        <is>
          <t>70gsm - 100% Polyester Plain weave woven fabric in white color</t>
        </is>
      </c>
      <c r="F28" s="9" t="n">
        <v>70</v>
      </c>
      <c r="G28" s="9" t="inlineStr">
        <is>
          <t>190T</t>
        </is>
      </c>
      <c r="H28" s="9" t="inlineStr"/>
      <c r="I28" s="9" t="inlineStr">
        <is>
          <t>White</t>
        </is>
      </c>
      <c r="J28" s="10" t="inlineStr"/>
      <c r="K28" s="10" t="inlineStr"/>
      <c r="L28" s="10" t="inlineStr"/>
      <c r="M28" s="13">
        <f>IFERROR(K28*(1+L28/100)*VLOOKUP(B28,'1. Articles (SKUs)'!E:N,10,FALSE),"")</f>
        <v/>
      </c>
      <c r="N28" s="14" t="inlineStr"/>
    </row>
    <row r="29">
      <c r="A29" s="11" t="inlineStr">
        <is>
          <t>FT2</t>
        </is>
      </c>
      <c r="B29" s="11" t="inlineStr">
        <is>
          <t>GPFRIOMP79</t>
        </is>
      </c>
      <c r="C29" s="11" t="inlineStr">
        <is>
          <t>SPLIT HEAD KING</t>
        </is>
      </c>
      <c r="D29" s="11" t="inlineStr">
        <is>
          <t>Platform</t>
        </is>
      </c>
      <c r="E29" s="11" t="inlineStr">
        <is>
          <t>140gsm - 100% Nylon mica fiber jersey knitted fabric</t>
        </is>
      </c>
      <c r="F29" s="11" t="n">
        <v>140</v>
      </c>
      <c r="G29" s="11" t="inlineStr">
        <is>
          <t>75D</t>
        </is>
      </c>
      <c r="H29" s="11" t="inlineStr">
        <is>
          <t>A) 0.02mmTPU PU Coating in White Color  B)  SILVADUR (TM) 930 Antimicrobial ‐ PRN 98‐10</t>
        </is>
      </c>
      <c r="I29" s="11" t="inlineStr"/>
      <c r="J29" s="10" t="inlineStr"/>
      <c r="K29" s="10" t="inlineStr"/>
      <c r="L29" s="10" t="inlineStr"/>
      <c r="M29" s="13">
        <f>IFERROR(K29*(1+L29/100)*VLOOKUP(B29,'1. Articles (SKUs)'!E:N,10,FALSE),"")</f>
        <v/>
      </c>
      <c r="N29" s="14" t="inlineStr"/>
    </row>
    <row r="30">
      <c r="A30" s="9" t="inlineStr">
        <is>
          <t>FT2</t>
        </is>
      </c>
      <c r="B30" s="9" t="inlineStr">
        <is>
          <t>GPFRIOMP79</t>
        </is>
      </c>
      <c r="C30" s="9" t="inlineStr">
        <is>
          <t>SPLIT HEAD KING</t>
        </is>
      </c>
      <c r="D30" s="9" t="inlineStr">
        <is>
          <t>Skirt</t>
        </is>
      </c>
      <c r="E30" s="9" t="inlineStr">
        <is>
          <t>70gsm - 100% Polyester interlock knitted fabric in white</t>
        </is>
      </c>
      <c r="F30" s="9" t="n">
        <v>70</v>
      </c>
      <c r="G30" s="9" t="inlineStr">
        <is>
          <t>33s</t>
        </is>
      </c>
      <c r="H30" s="9" t="inlineStr">
        <is>
          <t>A) 0.02mmTPU PU Coating in White Color  B)  SILVADUR (TM) 930 Antimicrobial ‐ PRN 98‐10</t>
        </is>
      </c>
      <c r="I30" s="9" t="inlineStr">
        <is>
          <t>White</t>
        </is>
      </c>
      <c r="J30" s="10" t="inlineStr"/>
      <c r="K30" s="10" t="inlineStr"/>
      <c r="L30" s="10" t="inlineStr"/>
      <c r="M30" s="13">
        <f>IFERROR(K30*(1+L30/100)*VLOOKUP(B30,'1. Articles (SKUs)'!E:N,10,FALSE),"")</f>
        <v/>
      </c>
      <c r="N30" s="14" t="inlineStr"/>
    </row>
    <row r="31">
      <c r="A31" s="11" t="inlineStr">
        <is>
          <t>FT2</t>
        </is>
      </c>
      <c r="B31" s="11" t="inlineStr">
        <is>
          <t>GPFRIOMP79</t>
        </is>
      </c>
      <c r="C31" s="11" t="inlineStr">
        <is>
          <t>SPLIT HEAD KING</t>
        </is>
      </c>
      <c r="D31" s="11" t="inlineStr">
        <is>
          <t>Binding</t>
        </is>
      </c>
      <c r="E31" s="11" t="inlineStr">
        <is>
          <t>70gsm - 100% Polyester Plain weave woven fabric in white color</t>
        </is>
      </c>
      <c r="F31" s="11" t="n">
        <v>70</v>
      </c>
      <c r="G31" s="11" t="inlineStr">
        <is>
          <t>190T</t>
        </is>
      </c>
      <c r="H31" s="11" t="inlineStr"/>
      <c r="I31" s="11" t="inlineStr">
        <is>
          <t>White</t>
        </is>
      </c>
      <c r="J31" s="10" t="inlineStr"/>
      <c r="K31" s="10" t="inlineStr"/>
      <c r="L31" s="10" t="inlineStr"/>
      <c r="M31" s="13">
        <f>IFERROR(K31*(1+L31/100)*VLOOKUP(B31,'1. Articles (SKUs)'!E:N,10,FALSE),"")</f>
        <v/>
      </c>
      <c r="N31" s="14" t="inlineStr"/>
    </row>
    <row r="32">
      <c r="A32" s="9" t="inlineStr">
        <is>
          <t>FT2</t>
        </is>
      </c>
      <c r="B32" s="9" t="inlineStr">
        <is>
          <t>GPFRIOPPQ</t>
        </is>
      </c>
      <c r="C32" s="9" t="inlineStr">
        <is>
          <t>QUEEN PILLOW PROTECTOR</t>
        </is>
      </c>
      <c r="D32" s="9" t="inlineStr">
        <is>
          <t>Platform</t>
        </is>
      </c>
      <c r="E32" s="9" t="inlineStr">
        <is>
          <t>140gsm - 100% Nylon mica fiber jersey knitted fabric</t>
        </is>
      </c>
      <c r="F32" s="9" t="n">
        <v>140</v>
      </c>
      <c r="G32" s="9" t="inlineStr">
        <is>
          <t>75D</t>
        </is>
      </c>
      <c r="H32" s="9" t="inlineStr">
        <is>
          <t>A) 0.02mmTPU PU Coating in White Color  B)  SILVADUR (TM) 930 Antimicrobial ‐ PRN 98‐10</t>
        </is>
      </c>
      <c r="I32" s="9" t="inlineStr"/>
      <c r="J32" s="10" t="inlineStr"/>
      <c r="K32" s="10" t="inlineStr"/>
      <c r="L32" s="10" t="inlineStr"/>
      <c r="M32" s="13">
        <f>IFERROR(K32*(1+L32/100)*VLOOKUP(B32,'1. Articles (SKUs)'!E:N,10,FALSE),"")</f>
        <v/>
      </c>
      <c r="N32" s="14" t="inlineStr"/>
    </row>
    <row r="33">
      <c r="A33" s="11" t="inlineStr">
        <is>
          <t>FT2</t>
        </is>
      </c>
      <c r="B33" s="11" t="inlineStr">
        <is>
          <t>GPFRIOPPQ</t>
        </is>
      </c>
      <c r="C33" s="11" t="inlineStr">
        <is>
          <t>QUEEN PILLOW PROTECTOR</t>
        </is>
      </c>
      <c r="D33" s="11" t="inlineStr">
        <is>
          <t>Skirt</t>
        </is>
      </c>
      <c r="E33" s="11" t="inlineStr">
        <is>
          <t>70gsm - 100% Polyester interlock knitted fabric in white</t>
        </is>
      </c>
      <c r="F33" s="11" t="n">
        <v>70</v>
      </c>
      <c r="G33" s="11" t="inlineStr">
        <is>
          <t>33s</t>
        </is>
      </c>
      <c r="H33" s="11" t="inlineStr">
        <is>
          <t>A) 0.02mmTPU PU Coating in White Color  B)  SILVADUR (TM) 930 Antimicrobial ‐ PRN 98‐10</t>
        </is>
      </c>
      <c r="I33" s="11" t="inlineStr">
        <is>
          <t>White</t>
        </is>
      </c>
      <c r="J33" s="10" t="inlineStr"/>
      <c r="K33" s="10" t="inlineStr"/>
      <c r="L33" s="10" t="inlineStr"/>
      <c r="M33" s="13">
        <f>IFERROR(K33*(1+L33/100)*VLOOKUP(B33,'1. Articles (SKUs)'!E:N,10,FALSE),"")</f>
        <v/>
      </c>
      <c r="N33" s="14" t="inlineStr"/>
    </row>
    <row r="34">
      <c r="A34" s="9" t="inlineStr">
        <is>
          <t>FT2</t>
        </is>
      </c>
      <c r="B34" s="9" t="inlineStr">
        <is>
          <t>GPFRIOPPQ</t>
        </is>
      </c>
      <c r="C34" s="9" t="inlineStr">
        <is>
          <t>QUEEN PILLOW PROTECTOR</t>
        </is>
      </c>
      <c r="D34" s="9" t="inlineStr">
        <is>
          <t>Binding</t>
        </is>
      </c>
      <c r="E34" s="9" t="inlineStr">
        <is>
          <t>70gsm - 100% Polyester Plain weave woven fabric in white color</t>
        </is>
      </c>
      <c r="F34" s="9" t="n">
        <v>70</v>
      </c>
      <c r="G34" s="9" t="inlineStr">
        <is>
          <t>190T</t>
        </is>
      </c>
      <c r="H34" s="9" t="inlineStr"/>
      <c r="I34" s="9" t="inlineStr">
        <is>
          <t>White</t>
        </is>
      </c>
      <c r="J34" s="10" t="inlineStr"/>
      <c r="K34" s="10" t="inlineStr"/>
      <c r="L34" s="10" t="inlineStr"/>
      <c r="M34" s="13">
        <f>IFERROR(K34*(1+L34/100)*VLOOKUP(B34,'1. Articles (SKUs)'!E:N,10,FALSE),"")</f>
        <v/>
      </c>
      <c r="N34" s="14" t="inlineStr"/>
    </row>
    <row r="35">
      <c r="A35" s="11" t="inlineStr">
        <is>
          <t>FT2</t>
        </is>
      </c>
      <c r="B35" s="11" t="inlineStr">
        <is>
          <t>GPFRIOPPk</t>
        </is>
      </c>
      <c r="C35" s="11" t="inlineStr">
        <is>
          <t>KING PILLOW PROTECTOR</t>
        </is>
      </c>
      <c r="D35" s="11" t="inlineStr">
        <is>
          <t>Platform</t>
        </is>
      </c>
      <c r="E35" s="11" t="inlineStr">
        <is>
          <t>140gsm - 100% Nylon mica fiber jersey knitted fabric</t>
        </is>
      </c>
      <c r="F35" s="11" t="n">
        <v>140</v>
      </c>
      <c r="G35" s="11" t="inlineStr">
        <is>
          <t>75D</t>
        </is>
      </c>
      <c r="H35" s="11" t="inlineStr">
        <is>
          <t>A) 0.02mmTPU PU Coating in White Color  B)  SILVADUR (TM) 930 Antimicrobial ‐ PRN 98‐10</t>
        </is>
      </c>
      <c r="I35" s="11" t="inlineStr"/>
      <c r="J35" s="10" t="inlineStr"/>
      <c r="K35" s="10" t="inlineStr"/>
      <c r="L35" s="10" t="inlineStr"/>
      <c r="M35" s="13">
        <f>IFERROR(K35*(1+L35/100)*VLOOKUP(B35,'1. Articles (SKUs)'!E:N,10,FALSE),"")</f>
        <v/>
      </c>
      <c r="N35" s="14" t="inlineStr"/>
    </row>
    <row r="36">
      <c r="A36" s="9" t="inlineStr">
        <is>
          <t>FT2</t>
        </is>
      </c>
      <c r="B36" s="9" t="inlineStr">
        <is>
          <t>GPFRIOPPk</t>
        </is>
      </c>
      <c r="C36" s="9" t="inlineStr">
        <is>
          <t>KING PILLOW PROTECTOR</t>
        </is>
      </c>
      <c r="D36" s="9" t="inlineStr">
        <is>
          <t>Skirt</t>
        </is>
      </c>
      <c r="E36" s="9" t="inlineStr">
        <is>
          <t>70gsm - 100% Polyester interlock knitted fabric in white</t>
        </is>
      </c>
      <c r="F36" s="9" t="n">
        <v>70</v>
      </c>
      <c r="G36" s="9" t="inlineStr">
        <is>
          <t>33s</t>
        </is>
      </c>
      <c r="H36" s="9" t="inlineStr">
        <is>
          <t>A) 0.02mmTPU PU Coating in White Color  B)  SILVADUR (TM) 930 Antimicrobial ‐ PRN 98‐10</t>
        </is>
      </c>
      <c r="I36" s="9" t="inlineStr">
        <is>
          <t>White</t>
        </is>
      </c>
      <c r="J36" s="10" t="inlineStr"/>
      <c r="K36" s="10" t="inlineStr"/>
      <c r="L36" s="10" t="inlineStr"/>
      <c r="M36" s="13">
        <f>IFERROR(K36*(1+L36/100)*VLOOKUP(B36,'1. Articles (SKUs)'!E:N,10,FALSE),"")</f>
        <v/>
      </c>
      <c r="N36" s="14" t="inlineStr"/>
    </row>
    <row r="37">
      <c r="A37" s="11" t="inlineStr">
        <is>
          <t>FT2</t>
        </is>
      </c>
      <c r="B37" s="11" t="inlineStr">
        <is>
          <t>GPFRIOPPk</t>
        </is>
      </c>
      <c r="C37" s="11" t="inlineStr">
        <is>
          <t>KING PILLOW PROTECTOR</t>
        </is>
      </c>
      <c r="D37" s="11" t="inlineStr">
        <is>
          <t>Binding</t>
        </is>
      </c>
      <c r="E37" s="11" t="inlineStr">
        <is>
          <t>70gsm - 100% Polyester Plain weave woven fabric in white color</t>
        </is>
      </c>
      <c r="F37" s="11" t="n">
        <v>70</v>
      </c>
      <c r="G37" s="11" t="inlineStr">
        <is>
          <t>190T</t>
        </is>
      </c>
      <c r="H37" s="11" t="inlineStr"/>
      <c r="I37" s="11" t="inlineStr">
        <is>
          <t>White</t>
        </is>
      </c>
      <c r="J37" s="10" t="inlineStr"/>
      <c r="K37" s="10" t="inlineStr"/>
      <c r="L37" s="10" t="inlineStr"/>
      <c r="M37" s="13">
        <f>IFERROR(K37*(1+L37/100)*VLOOKUP(B37,'1. Articles (SKUs)'!E:N,10,FALSE),"")</f>
        <v/>
      </c>
      <c r="N37" s="14" t="inlineStr"/>
    </row>
    <row r="38">
      <c r="A38" s="9" t="inlineStr">
        <is>
          <t>FT4</t>
        </is>
      </c>
      <c r="B38" s="9" t="inlineStr">
        <is>
          <t>GPMP33</t>
        </is>
      </c>
      <c r="C38" s="9" t="inlineStr">
        <is>
          <t>TWIN</t>
        </is>
      </c>
      <c r="D38" s="9" t="inlineStr">
        <is>
          <t>Platform</t>
        </is>
      </c>
      <c r="E38" s="9" t="inlineStr">
        <is>
          <t>110gsm - 100% Polyester terry knitted fabric with 0.02mm TPUwhite coating</t>
        </is>
      </c>
      <c r="F38" s="9" t="n">
        <v>110</v>
      </c>
      <c r="G38" s="9" t="inlineStr">
        <is>
          <t>32S Loop / 100D bottom</t>
        </is>
      </c>
      <c r="H38" s="9" t="inlineStr">
        <is>
          <t>A) 0.02mmTPU PU Coating in White Color  B)  SILVADUR (TM) 930 Antimicrobial ‐ PRN 98‐10                                                                                      C) Wick Away Treatment on Top Platform – TK-N02</t>
        </is>
      </c>
      <c r="I38" s="9" t="inlineStr">
        <is>
          <t>White</t>
        </is>
      </c>
      <c r="J38" s="10" t="inlineStr"/>
      <c r="K38" s="10" t="inlineStr"/>
      <c r="L38" s="10" t="inlineStr"/>
      <c r="M38" s="13">
        <f>IFERROR(K38*(1+L38/100)*VLOOKUP(B38,'1. Articles (SKUs)'!E:N,10,FALSE),"")</f>
        <v/>
      </c>
      <c r="N38" s="14" t="inlineStr"/>
    </row>
    <row r="39">
      <c r="A39" s="11" t="inlineStr">
        <is>
          <t>FT4</t>
        </is>
      </c>
      <c r="B39" s="11" t="inlineStr">
        <is>
          <t>GPMP33</t>
        </is>
      </c>
      <c r="C39" s="11" t="inlineStr">
        <is>
          <t>TWIN</t>
        </is>
      </c>
      <c r="D39" s="11" t="inlineStr">
        <is>
          <t>Skirt</t>
        </is>
      </c>
      <c r="E39" s="11" t="inlineStr">
        <is>
          <t>100% Polyester mesh knitted fabric</t>
        </is>
      </c>
      <c r="F39" s="11" t="n">
        <v>70</v>
      </c>
      <c r="G39" s="11" t="inlineStr"/>
      <c r="H39" s="11" t="inlineStr"/>
      <c r="I39" s="11" t="inlineStr"/>
      <c r="J39" s="10" t="inlineStr"/>
      <c r="K39" s="10" t="inlineStr"/>
      <c r="L39" s="10" t="inlineStr"/>
      <c r="M39" s="13">
        <f>IFERROR(K39*(1+L39/100)*VLOOKUP(B39,'1. Articles (SKUs)'!E:N,10,FALSE),"")</f>
        <v/>
      </c>
      <c r="N39" s="14" t="inlineStr"/>
    </row>
    <row r="40">
      <c r="A40" s="9" t="inlineStr">
        <is>
          <t>FT4</t>
        </is>
      </c>
      <c r="B40" s="9" t="inlineStr">
        <is>
          <t>GPMP33</t>
        </is>
      </c>
      <c r="C40" s="9" t="inlineStr">
        <is>
          <t>TWIN</t>
        </is>
      </c>
      <c r="D40" s="9" t="inlineStr">
        <is>
          <t>Piping</t>
        </is>
      </c>
      <c r="E40" s="9" t="inlineStr">
        <is>
          <t>Piping fabric  - 100% Polyester satin fabric in silver color, Pantone Color - #14-4102TC</t>
        </is>
      </c>
      <c r="F40" s="9" t="n">
        <v>70</v>
      </c>
      <c r="G40" s="9" t="inlineStr">
        <is>
          <t>1/8" thickness</t>
        </is>
      </c>
      <c r="H40" s="9" t="inlineStr"/>
      <c r="I40" s="9" t="inlineStr">
        <is>
          <t>Silver</t>
        </is>
      </c>
      <c r="J40" s="10" t="inlineStr"/>
      <c r="K40" s="10" t="inlineStr"/>
      <c r="L40" s="10" t="inlineStr"/>
      <c r="M40" s="13">
        <f>IFERROR(K40*(1+L40/100)*VLOOKUP(B40,'1. Articles (SKUs)'!E:N,10,FALSE),"")</f>
        <v/>
      </c>
      <c r="N40" s="14" t="inlineStr"/>
    </row>
    <row r="41">
      <c r="A41" s="11" t="inlineStr">
        <is>
          <t>FT4</t>
        </is>
      </c>
      <c r="B41" s="11" t="inlineStr">
        <is>
          <t>GPMP38</t>
        </is>
      </c>
      <c r="C41" s="11" t="inlineStr">
        <is>
          <t>TWIN XL</t>
        </is>
      </c>
      <c r="D41" s="11" t="inlineStr">
        <is>
          <t>Platform</t>
        </is>
      </c>
      <c r="E41" s="11" t="inlineStr">
        <is>
          <t>110gsm - 100% Polyester terry knitted fabric with 0.02mm TPUwhite coating</t>
        </is>
      </c>
      <c r="F41" s="11" t="n">
        <v>110</v>
      </c>
      <c r="G41" s="11" t="inlineStr">
        <is>
          <t>32S Loop / 100D bottom</t>
        </is>
      </c>
      <c r="H41" s="11" t="inlineStr">
        <is>
          <t>A) 0.02mmTPU PU Coating in White Color  B)  SILVADUR (TM) 930 Antimicrobial ‐ PRN 98‐10                                                                                      C) Wick Away Treatment on Top Platform – TK-N02</t>
        </is>
      </c>
      <c r="I41" s="11" t="inlineStr">
        <is>
          <t>White</t>
        </is>
      </c>
      <c r="J41" s="10" t="inlineStr"/>
      <c r="K41" s="10" t="inlineStr"/>
      <c r="L41" s="10" t="inlineStr"/>
      <c r="M41" s="13">
        <f>IFERROR(K41*(1+L41/100)*VLOOKUP(B41,'1. Articles (SKUs)'!E:N,10,FALSE),"")</f>
        <v/>
      </c>
      <c r="N41" s="14" t="inlineStr"/>
    </row>
    <row r="42">
      <c r="A42" s="9" t="inlineStr">
        <is>
          <t>FT4</t>
        </is>
      </c>
      <c r="B42" s="9" t="inlineStr">
        <is>
          <t>GPMP38</t>
        </is>
      </c>
      <c r="C42" s="9" t="inlineStr">
        <is>
          <t>TWIN XL</t>
        </is>
      </c>
      <c r="D42" s="9" t="inlineStr">
        <is>
          <t>Skirt</t>
        </is>
      </c>
      <c r="E42" s="9" t="inlineStr">
        <is>
          <t>100% Polyester mesh knitted fabric</t>
        </is>
      </c>
      <c r="F42" s="9" t="n">
        <v>70</v>
      </c>
      <c r="G42" s="9" t="inlineStr"/>
      <c r="H42" s="9" t="inlineStr"/>
      <c r="I42" s="9" t="inlineStr"/>
      <c r="J42" s="10" t="inlineStr"/>
      <c r="K42" s="10" t="inlineStr"/>
      <c r="L42" s="10" t="inlineStr"/>
      <c r="M42" s="13">
        <f>IFERROR(K42*(1+L42/100)*VLOOKUP(B42,'1. Articles (SKUs)'!E:N,10,FALSE),"")</f>
        <v/>
      </c>
      <c r="N42" s="14" t="inlineStr"/>
    </row>
    <row r="43">
      <c r="A43" s="11" t="inlineStr">
        <is>
          <t>FT4</t>
        </is>
      </c>
      <c r="B43" s="11" t="inlineStr">
        <is>
          <t>GPMP38</t>
        </is>
      </c>
      <c r="C43" s="11" t="inlineStr">
        <is>
          <t>TWIN XL</t>
        </is>
      </c>
      <c r="D43" s="11" t="inlineStr">
        <is>
          <t>Piping</t>
        </is>
      </c>
      <c r="E43" s="11" t="inlineStr">
        <is>
          <t>Piping fabric  - 100% Polyester satin fabric in silver color, Pantone Color - #14-4102TC</t>
        </is>
      </c>
      <c r="F43" s="11" t="n">
        <v>70</v>
      </c>
      <c r="G43" s="11" t="inlineStr">
        <is>
          <t>1/8" thickness</t>
        </is>
      </c>
      <c r="H43" s="11" t="inlineStr"/>
      <c r="I43" s="11" t="inlineStr">
        <is>
          <t>Silver</t>
        </is>
      </c>
      <c r="J43" s="10" t="inlineStr"/>
      <c r="K43" s="10" t="inlineStr"/>
      <c r="L43" s="10" t="inlineStr"/>
      <c r="M43" s="13">
        <f>IFERROR(K43*(1+L43/100)*VLOOKUP(B43,'1. Articles (SKUs)'!E:N,10,FALSE),"")</f>
        <v/>
      </c>
      <c r="N43" s="14" t="inlineStr"/>
    </row>
    <row r="44">
      <c r="A44" s="9" t="inlineStr">
        <is>
          <t>FT4</t>
        </is>
      </c>
      <c r="B44" s="9" t="inlineStr">
        <is>
          <t>GPMP46</t>
        </is>
      </c>
      <c r="C44" s="9" t="inlineStr">
        <is>
          <t>FULL</t>
        </is>
      </c>
      <c r="D44" s="9" t="inlineStr">
        <is>
          <t>Platform</t>
        </is>
      </c>
      <c r="E44" s="9" t="inlineStr">
        <is>
          <t>110gsm - 100% Polyester terry knitted fabric with 0.02mm TPUwhite coating</t>
        </is>
      </c>
      <c r="F44" s="9" t="n">
        <v>110</v>
      </c>
      <c r="G44" s="9" t="inlineStr">
        <is>
          <t>32S Loop / 100D bottom</t>
        </is>
      </c>
      <c r="H44" s="9" t="inlineStr">
        <is>
          <t>A) 0.02mmTPU PU Coating in White Color  B)  SILVADUR (TM) 930 Antimicrobial ‐ PRN 98‐10                                                                                      C) Wick Away Treatment on Top Platform – TK-N02</t>
        </is>
      </c>
      <c r="I44" s="9" t="inlineStr">
        <is>
          <t>White</t>
        </is>
      </c>
      <c r="J44" s="10" t="inlineStr"/>
      <c r="K44" s="10" t="inlineStr"/>
      <c r="L44" s="10" t="inlineStr"/>
      <c r="M44" s="13">
        <f>IFERROR(K44*(1+L44/100)*VLOOKUP(B44,'1. Articles (SKUs)'!E:N,10,FALSE),"")</f>
        <v/>
      </c>
      <c r="N44" s="14" t="inlineStr"/>
    </row>
    <row r="45">
      <c r="A45" s="11" t="inlineStr">
        <is>
          <t>FT4</t>
        </is>
      </c>
      <c r="B45" s="11" t="inlineStr">
        <is>
          <t>GPMP46</t>
        </is>
      </c>
      <c r="C45" s="11" t="inlineStr">
        <is>
          <t>FULL</t>
        </is>
      </c>
      <c r="D45" s="11" t="inlineStr">
        <is>
          <t>Skirt</t>
        </is>
      </c>
      <c r="E45" s="11" t="inlineStr">
        <is>
          <t>100% Polyester mesh knitted fabric</t>
        </is>
      </c>
      <c r="F45" s="11" t="n">
        <v>70</v>
      </c>
      <c r="G45" s="11" t="inlineStr"/>
      <c r="H45" s="11" t="inlineStr"/>
      <c r="I45" s="11" t="inlineStr"/>
      <c r="J45" s="10" t="inlineStr"/>
      <c r="K45" s="10" t="inlineStr"/>
      <c r="L45" s="10" t="inlineStr"/>
      <c r="M45" s="13">
        <f>IFERROR(K45*(1+L45/100)*VLOOKUP(B45,'1. Articles (SKUs)'!E:N,10,FALSE),"")</f>
        <v/>
      </c>
      <c r="N45" s="14" t="inlineStr"/>
    </row>
    <row r="46">
      <c r="A46" s="9" t="inlineStr">
        <is>
          <t>FT4</t>
        </is>
      </c>
      <c r="B46" s="9" t="inlineStr">
        <is>
          <t>GPMP46</t>
        </is>
      </c>
      <c r="C46" s="9" t="inlineStr">
        <is>
          <t>FULL</t>
        </is>
      </c>
      <c r="D46" s="9" t="inlineStr">
        <is>
          <t>Piping</t>
        </is>
      </c>
      <c r="E46" s="9" t="inlineStr">
        <is>
          <t>Piping fabric  - 100% Polyester satin fabric in silver color, Pantone Color - #14-4102TC</t>
        </is>
      </c>
      <c r="F46" s="9" t="n">
        <v>70</v>
      </c>
      <c r="G46" s="9" t="inlineStr">
        <is>
          <t>1/8" thickness</t>
        </is>
      </c>
      <c r="H46" s="9" t="inlineStr"/>
      <c r="I46" s="9" t="inlineStr">
        <is>
          <t>Silver</t>
        </is>
      </c>
      <c r="J46" s="10" t="inlineStr"/>
      <c r="K46" s="10" t="inlineStr"/>
      <c r="L46" s="10" t="inlineStr"/>
      <c r="M46" s="13">
        <f>IFERROR(K46*(1+L46/100)*VLOOKUP(B46,'1. Articles (SKUs)'!E:N,10,FALSE),"")</f>
        <v/>
      </c>
      <c r="N46" s="14" t="inlineStr"/>
    </row>
    <row r="47">
      <c r="A47" s="11" t="inlineStr">
        <is>
          <t>FT4</t>
        </is>
      </c>
      <c r="B47" s="11" t="inlineStr">
        <is>
          <t>GPMP80</t>
        </is>
      </c>
      <c r="C47" s="11" t="inlineStr">
        <is>
          <t>FULL XL</t>
        </is>
      </c>
      <c r="D47" s="11" t="inlineStr">
        <is>
          <t>Platform</t>
        </is>
      </c>
      <c r="E47" s="11" t="inlineStr">
        <is>
          <t>110gsm - 100% Polyester terry knitted fabric with 0.02mm TPUwhite coating</t>
        </is>
      </c>
      <c r="F47" s="11" t="n">
        <v>110</v>
      </c>
      <c r="G47" s="11" t="inlineStr">
        <is>
          <t>32S Loop / 100D bottom</t>
        </is>
      </c>
      <c r="H47" s="11" t="inlineStr">
        <is>
          <t>A) 0.02mmTPU PU Coating in White Color  B)  SILVADUR (TM) 930 Antimicrobial ‐ PRN 98‐10                                                                                      C) Wick Away Treatment on Top Platform – TK-N02</t>
        </is>
      </c>
      <c r="I47" s="11" t="inlineStr">
        <is>
          <t>White</t>
        </is>
      </c>
      <c r="J47" s="10" t="inlineStr"/>
      <c r="K47" s="10" t="inlineStr"/>
      <c r="L47" s="10" t="inlineStr"/>
      <c r="M47" s="13">
        <f>IFERROR(K47*(1+L47/100)*VLOOKUP(B47,'1. Articles (SKUs)'!E:N,10,FALSE),"")</f>
        <v/>
      </c>
      <c r="N47" s="14" t="inlineStr"/>
    </row>
    <row r="48">
      <c r="A48" s="9" t="inlineStr">
        <is>
          <t>FT4</t>
        </is>
      </c>
      <c r="B48" s="9" t="inlineStr">
        <is>
          <t>GPMP80</t>
        </is>
      </c>
      <c r="C48" s="9" t="inlineStr">
        <is>
          <t>FULL XL</t>
        </is>
      </c>
      <c r="D48" s="9" t="inlineStr">
        <is>
          <t>Skirt</t>
        </is>
      </c>
      <c r="E48" s="9" t="inlineStr">
        <is>
          <t>100% Polyester mesh knitted fabric</t>
        </is>
      </c>
      <c r="F48" s="9" t="n">
        <v>70</v>
      </c>
      <c r="G48" s="9" t="inlineStr"/>
      <c r="H48" s="9" t="inlineStr"/>
      <c r="I48" s="9" t="inlineStr"/>
      <c r="J48" s="10" t="inlineStr"/>
      <c r="K48" s="10" t="inlineStr"/>
      <c r="L48" s="10" t="inlineStr"/>
      <c r="M48" s="13">
        <f>IFERROR(K48*(1+L48/100)*VLOOKUP(B48,'1. Articles (SKUs)'!E:N,10,FALSE),"")</f>
        <v/>
      </c>
      <c r="N48" s="14" t="inlineStr"/>
    </row>
    <row r="49">
      <c r="A49" s="11" t="inlineStr">
        <is>
          <t>FT4</t>
        </is>
      </c>
      <c r="B49" s="11" t="inlineStr">
        <is>
          <t>GPMP80</t>
        </is>
      </c>
      <c r="C49" s="11" t="inlineStr">
        <is>
          <t>FULL XL</t>
        </is>
      </c>
      <c r="D49" s="11" t="inlineStr">
        <is>
          <t>Piping</t>
        </is>
      </c>
      <c r="E49" s="11" t="inlineStr">
        <is>
          <t>Piping fabric  - 100% Polyester satin fabric in silver color, Pantone Color - #14-4102TC</t>
        </is>
      </c>
      <c r="F49" s="11" t="n">
        <v>70</v>
      </c>
      <c r="G49" s="11" t="inlineStr">
        <is>
          <t>1/8" thickness</t>
        </is>
      </c>
      <c r="H49" s="11" t="inlineStr"/>
      <c r="I49" s="11" t="inlineStr">
        <is>
          <t>Silver</t>
        </is>
      </c>
      <c r="J49" s="10" t="inlineStr"/>
      <c r="K49" s="10" t="inlineStr"/>
      <c r="L49" s="10" t="inlineStr"/>
      <c r="M49" s="13">
        <f>IFERROR(K49*(1+L49/100)*VLOOKUP(B49,'1. Articles (SKUs)'!E:N,10,FALSE),"")</f>
        <v/>
      </c>
      <c r="N49" s="14" t="inlineStr"/>
    </row>
    <row r="50">
      <c r="A50" s="9" t="inlineStr">
        <is>
          <t>FT4</t>
        </is>
      </c>
      <c r="B50" s="9" t="inlineStr">
        <is>
          <t>GPMP50</t>
        </is>
      </c>
      <c r="C50" s="9" t="inlineStr">
        <is>
          <t>QUEEN</t>
        </is>
      </c>
      <c r="D50" s="9" t="inlineStr">
        <is>
          <t>Platform</t>
        </is>
      </c>
      <c r="E50" s="9" t="inlineStr">
        <is>
          <t>110gsm - 100% Polyester terry knitted fabric with 0.02mm TPUwhite coating</t>
        </is>
      </c>
      <c r="F50" s="9" t="n">
        <v>110</v>
      </c>
      <c r="G50" s="9" t="inlineStr">
        <is>
          <t>32S Loop / 100D bottom</t>
        </is>
      </c>
      <c r="H50" s="9" t="inlineStr">
        <is>
          <t>A) 0.02mmTPU PU Coating in White Color  B)  SILVADUR (TM) 930 Antimicrobial ‐ PRN 98‐10                                                                                      C) Wick Away Treatment on Top Platform – TK-N02</t>
        </is>
      </c>
      <c r="I50" s="9" t="inlineStr">
        <is>
          <t>White</t>
        </is>
      </c>
      <c r="J50" s="10" t="inlineStr"/>
      <c r="K50" s="10" t="inlineStr"/>
      <c r="L50" s="10" t="inlineStr"/>
      <c r="M50" s="13">
        <f>IFERROR(K50*(1+L50/100)*VLOOKUP(B50,'1. Articles (SKUs)'!E:N,10,FALSE),"")</f>
        <v/>
      </c>
      <c r="N50" s="14" t="inlineStr"/>
    </row>
    <row r="51">
      <c r="A51" s="11" t="inlineStr">
        <is>
          <t>FT4</t>
        </is>
      </c>
      <c r="B51" s="11" t="inlineStr">
        <is>
          <t>GPMP50</t>
        </is>
      </c>
      <c r="C51" s="11" t="inlineStr">
        <is>
          <t>QUEEN</t>
        </is>
      </c>
      <c r="D51" s="11" t="inlineStr">
        <is>
          <t>Skirt</t>
        </is>
      </c>
      <c r="E51" s="11" t="inlineStr">
        <is>
          <t>100% Polyester mesh knitted fabric</t>
        </is>
      </c>
      <c r="F51" s="11" t="n">
        <v>70</v>
      </c>
      <c r="G51" s="11" t="inlineStr"/>
      <c r="H51" s="11" t="inlineStr"/>
      <c r="I51" s="11" t="inlineStr"/>
      <c r="J51" s="10" t="inlineStr"/>
      <c r="K51" s="10" t="inlineStr"/>
      <c r="L51" s="10" t="inlineStr"/>
      <c r="M51" s="13">
        <f>IFERROR(K51*(1+L51/100)*VLOOKUP(B51,'1. Articles (SKUs)'!E:N,10,FALSE),"")</f>
        <v/>
      </c>
      <c r="N51" s="14" t="inlineStr"/>
    </row>
    <row r="52">
      <c r="A52" s="9" t="inlineStr">
        <is>
          <t>FT4</t>
        </is>
      </c>
      <c r="B52" s="9" t="inlineStr">
        <is>
          <t>GPMP50</t>
        </is>
      </c>
      <c r="C52" s="9" t="inlineStr">
        <is>
          <t>QUEEN</t>
        </is>
      </c>
      <c r="D52" s="9" t="inlineStr">
        <is>
          <t>Piping</t>
        </is>
      </c>
      <c r="E52" s="9" t="inlineStr">
        <is>
          <t>Piping fabric  - 100% Polyester satin fabric in silver color, Pantone Color - #14-4102TC</t>
        </is>
      </c>
      <c r="F52" s="9" t="n">
        <v>70</v>
      </c>
      <c r="G52" s="9" t="inlineStr">
        <is>
          <t>1/8" thickness</t>
        </is>
      </c>
      <c r="H52" s="9" t="inlineStr"/>
      <c r="I52" s="9" t="inlineStr">
        <is>
          <t>Silver</t>
        </is>
      </c>
      <c r="J52" s="10" t="inlineStr"/>
      <c r="K52" s="10" t="inlineStr"/>
      <c r="L52" s="10" t="inlineStr"/>
      <c r="M52" s="13">
        <f>IFERROR(K52*(1+L52/100)*VLOOKUP(B52,'1. Articles (SKUs)'!E:N,10,FALSE),"")</f>
        <v/>
      </c>
      <c r="N52" s="14" t="inlineStr"/>
    </row>
    <row r="53">
      <c r="A53" s="11" t="inlineStr">
        <is>
          <t>FT4</t>
        </is>
      </c>
      <c r="B53" s="11" t="inlineStr">
        <is>
          <t>GPMP78</t>
        </is>
      </c>
      <c r="C53" s="11" t="inlineStr">
        <is>
          <t>KING</t>
        </is>
      </c>
      <c r="D53" s="11" t="inlineStr">
        <is>
          <t>Platform</t>
        </is>
      </c>
      <c r="E53" s="11" t="inlineStr">
        <is>
          <t>110gsm - 100% Polyester terry knitted fabric with 0.02mm TPUwhite coating</t>
        </is>
      </c>
      <c r="F53" s="11" t="n">
        <v>110</v>
      </c>
      <c r="G53" s="11" t="inlineStr">
        <is>
          <t>32S Loop / 100D bottom</t>
        </is>
      </c>
      <c r="H53" s="11" t="inlineStr">
        <is>
          <t>A) 0.02mmTPU PU Coating in White Color  B)  SILVADUR (TM) 930 Antimicrobial ‐ PRN 98‐10                                                                                      C) Wick Away Treatment on Top Platform – TK-N02</t>
        </is>
      </c>
      <c r="I53" s="11" t="inlineStr">
        <is>
          <t>White</t>
        </is>
      </c>
      <c r="J53" s="10" t="inlineStr"/>
      <c r="K53" s="10" t="inlineStr"/>
      <c r="L53" s="10" t="inlineStr"/>
      <c r="M53" s="13">
        <f>IFERROR(K53*(1+L53/100)*VLOOKUP(B53,'1. Articles (SKUs)'!E:N,10,FALSE),"")</f>
        <v/>
      </c>
      <c r="N53" s="14" t="inlineStr"/>
    </row>
    <row r="54">
      <c r="A54" s="9" t="inlineStr">
        <is>
          <t>FT4</t>
        </is>
      </c>
      <c r="B54" s="9" t="inlineStr">
        <is>
          <t>GPMP78</t>
        </is>
      </c>
      <c r="C54" s="9" t="inlineStr">
        <is>
          <t>KING</t>
        </is>
      </c>
      <c r="D54" s="9" t="inlineStr">
        <is>
          <t>Skirt</t>
        </is>
      </c>
      <c r="E54" s="9" t="inlineStr">
        <is>
          <t>100% Polyester mesh knitted fabric</t>
        </is>
      </c>
      <c r="F54" s="9" t="n">
        <v>70</v>
      </c>
      <c r="G54" s="9" t="inlineStr"/>
      <c r="H54" s="9" t="inlineStr"/>
      <c r="I54" s="9" t="inlineStr"/>
      <c r="J54" s="10" t="inlineStr"/>
      <c r="K54" s="10" t="inlineStr"/>
      <c r="L54" s="10" t="inlineStr"/>
      <c r="M54" s="13">
        <f>IFERROR(K54*(1+L54/100)*VLOOKUP(B54,'1. Articles (SKUs)'!E:N,10,FALSE),"")</f>
        <v/>
      </c>
      <c r="N54" s="14" t="inlineStr"/>
    </row>
    <row r="55">
      <c r="A55" s="11" t="inlineStr">
        <is>
          <t>FT4</t>
        </is>
      </c>
      <c r="B55" s="11" t="inlineStr">
        <is>
          <t>GPMP78</t>
        </is>
      </c>
      <c r="C55" s="11" t="inlineStr">
        <is>
          <t>KING</t>
        </is>
      </c>
      <c r="D55" s="11" t="inlineStr">
        <is>
          <t>Piping</t>
        </is>
      </c>
      <c r="E55" s="11" t="inlineStr">
        <is>
          <t>Piping fabric  - 100% Polyester satin fabric in silver color, Pantone Color - #14-4102TC</t>
        </is>
      </c>
      <c r="F55" s="11" t="n">
        <v>70</v>
      </c>
      <c r="G55" s="11" t="inlineStr">
        <is>
          <t>1/8" thickness</t>
        </is>
      </c>
      <c r="H55" s="11" t="inlineStr"/>
      <c r="I55" s="11" t="inlineStr">
        <is>
          <t>Silver</t>
        </is>
      </c>
      <c r="J55" s="10" t="inlineStr"/>
      <c r="K55" s="10" t="inlineStr"/>
      <c r="L55" s="10" t="inlineStr"/>
      <c r="M55" s="13">
        <f>IFERROR(K55*(1+L55/100)*VLOOKUP(B55,'1. Articles (SKUs)'!E:N,10,FALSE),"")</f>
        <v/>
      </c>
      <c r="N55" s="14" t="inlineStr"/>
    </row>
    <row r="56">
      <c r="A56" s="9" t="inlineStr">
        <is>
          <t>FT4</t>
        </is>
      </c>
      <c r="B56" s="9" t="inlineStr">
        <is>
          <t>GPMP72</t>
        </is>
      </c>
      <c r="C56" s="9" t="inlineStr">
        <is>
          <t>CAL KING</t>
        </is>
      </c>
      <c r="D56" s="9" t="inlineStr">
        <is>
          <t>Platform</t>
        </is>
      </c>
      <c r="E56" s="9" t="inlineStr">
        <is>
          <t>110gsm - 100% Polyester terry knitted fabric with 0.02mm TPUwhite coating</t>
        </is>
      </c>
      <c r="F56" s="9" t="n">
        <v>110</v>
      </c>
      <c r="G56" s="9" t="inlineStr">
        <is>
          <t>32S Loop / 100D bottom</t>
        </is>
      </c>
      <c r="H56" s="9" t="inlineStr">
        <is>
          <t>A) 0.02mmTPU PU Coating in White Color  B)  SILVADUR (TM) 930 Antimicrobial ‐ PRN 98‐10                                                                                      C) Wick Away Treatment on Top Platform – TK-N02</t>
        </is>
      </c>
      <c r="I56" s="9" t="inlineStr">
        <is>
          <t>White</t>
        </is>
      </c>
      <c r="J56" s="10" t="inlineStr"/>
      <c r="K56" s="10" t="inlineStr"/>
      <c r="L56" s="10" t="inlineStr"/>
      <c r="M56" s="13">
        <f>IFERROR(K56*(1+L56/100)*VLOOKUP(B56,'1. Articles (SKUs)'!E:N,10,FALSE),"")</f>
        <v/>
      </c>
      <c r="N56" s="14" t="inlineStr"/>
    </row>
    <row r="57">
      <c r="A57" s="11" t="inlineStr">
        <is>
          <t>FT4</t>
        </is>
      </c>
      <c r="B57" s="11" t="inlineStr">
        <is>
          <t>GPMP72</t>
        </is>
      </c>
      <c r="C57" s="11" t="inlineStr">
        <is>
          <t>CAL KING</t>
        </is>
      </c>
      <c r="D57" s="11" t="inlineStr">
        <is>
          <t>Skirt</t>
        </is>
      </c>
      <c r="E57" s="11" t="inlineStr">
        <is>
          <t>100% Polyester mesh knitted fabric</t>
        </is>
      </c>
      <c r="F57" s="11" t="n">
        <v>70</v>
      </c>
      <c r="G57" s="11" t="inlineStr"/>
      <c r="H57" s="11" t="inlineStr"/>
      <c r="I57" s="11" t="inlineStr"/>
      <c r="J57" s="10" t="inlineStr"/>
      <c r="K57" s="10" t="inlineStr"/>
      <c r="L57" s="10" t="inlineStr"/>
      <c r="M57" s="13">
        <f>IFERROR(K57*(1+L57/100)*VLOOKUP(B57,'1. Articles (SKUs)'!E:N,10,FALSE),"")</f>
        <v/>
      </c>
      <c r="N57" s="14" t="inlineStr"/>
    </row>
    <row r="58">
      <c r="A58" s="9" t="inlineStr">
        <is>
          <t>FT4</t>
        </is>
      </c>
      <c r="B58" s="9" t="inlineStr">
        <is>
          <t>GPMP72</t>
        </is>
      </c>
      <c r="C58" s="9" t="inlineStr">
        <is>
          <t>CAL KING</t>
        </is>
      </c>
      <c r="D58" s="9" t="inlineStr">
        <is>
          <t>Piping</t>
        </is>
      </c>
      <c r="E58" s="9" t="inlineStr">
        <is>
          <t>Piping fabric  - 100% Polyester satin fabric in silver color, Pantone Color - #14-4102TC</t>
        </is>
      </c>
      <c r="F58" s="9" t="n">
        <v>70</v>
      </c>
      <c r="G58" s="9" t="inlineStr">
        <is>
          <t>1/8" thickness</t>
        </is>
      </c>
      <c r="H58" s="9" t="inlineStr"/>
      <c r="I58" s="9" t="inlineStr">
        <is>
          <t>Silver</t>
        </is>
      </c>
      <c r="J58" s="10" t="inlineStr"/>
      <c r="K58" s="10" t="inlineStr"/>
      <c r="L58" s="10" t="inlineStr"/>
      <c r="M58" s="13">
        <f>IFERROR(K58*(1+L58/100)*VLOOKUP(B58,'1. Articles (SKUs)'!E:N,10,FALSE),"")</f>
        <v/>
      </c>
      <c r="N58" s="14" t="inlineStr"/>
    </row>
    <row r="59">
      <c r="A59" s="11" t="inlineStr">
        <is>
          <t>FT4</t>
        </is>
      </c>
      <c r="B59" s="11" t="inlineStr">
        <is>
          <t>GPMP36</t>
        </is>
      </c>
      <c r="C59" s="11" t="inlineStr">
        <is>
          <t>SPLIT CAL KING</t>
        </is>
      </c>
      <c r="D59" s="11" t="inlineStr">
        <is>
          <t>Platform</t>
        </is>
      </c>
      <c r="E59" s="11" t="inlineStr">
        <is>
          <t>110gsm - 100% Polyester terry knitted fabric with 0.02mm TPUwhite coating</t>
        </is>
      </c>
      <c r="F59" s="11" t="n">
        <v>110</v>
      </c>
      <c r="G59" s="11" t="inlineStr">
        <is>
          <t>32S Loop / 100D bottom</t>
        </is>
      </c>
      <c r="H59" s="11" t="inlineStr">
        <is>
          <t>A) 0.02mmTPU PU Coating in White Color  B)  SILVADUR (TM) 930 Antimicrobial ‐ PRN 98‐10                                                                                      C) Wick Away Treatment on Top Platform – TK-N02</t>
        </is>
      </c>
      <c r="I59" s="11" t="inlineStr">
        <is>
          <t>White</t>
        </is>
      </c>
      <c r="J59" s="10" t="inlineStr"/>
      <c r="K59" s="10" t="inlineStr"/>
      <c r="L59" s="10" t="inlineStr"/>
      <c r="M59" s="13">
        <f>IFERROR(K59*(1+L59/100)*VLOOKUP(B59,'1. Articles (SKUs)'!E:N,10,FALSE),"")</f>
        <v/>
      </c>
      <c r="N59" s="14" t="inlineStr"/>
    </row>
    <row r="60">
      <c r="A60" s="9" t="inlineStr">
        <is>
          <t>FT4</t>
        </is>
      </c>
      <c r="B60" s="9" t="inlineStr">
        <is>
          <t>GPMP36</t>
        </is>
      </c>
      <c r="C60" s="9" t="inlineStr">
        <is>
          <t>SPLIT CAL KING</t>
        </is>
      </c>
      <c r="D60" s="9" t="inlineStr">
        <is>
          <t>Skirt</t>
        </is>
      </c>
      <c r="E60" s="9" t="inlineStr">
        <is>
          <t>100% Polyester mesh knitted fabric</t>
        </is>
      </c>
      <c r="F60" s="9" t="n">
        <v>70</v>
      </c>
      <c r="G60" s="9" t="inlineStr"/>
      <c r="H60" s="9" t="inlineStr"/>
      <c r="I60" s="9" t="inlineStr"/>
      <c r="J60" s="10" t="inlineStr"/>
      <c r="K60" s="10" t="inlineStr"/>
      <c r="L60" s="10" t="inlineStr"/>
      <c r="M60" s="13">
        <f>IFERROR(K60*(1+L60/100)*VLOOKUP(B60,'1. Articles (SKUs)'!E:N,10,FALSE),"")</f>
        <v/>
      </c>
      <c r="N60" s="14" t="inlineStr"/>
    </row>
    <row r="61">
      <c r="A61" s="11" t="inlineStr">
        <is>
          <t>FT4</t>
        </is>
      </c>
      <c r="B61" s="11" t="inlineStr">
        <is>
          <t>GPMP36</t>
        </is>
      </c>
      <c r="C61" s="11" t="inlineStr">
        <is>
          <t>SPLIT CAL KING</t>
        </is>
      </c>
      <c r="D61" s="11" t="inlineStr">
        <is>
          <t>Piping</t>
        </is>
      </c>
      <c r="E61" s="11" t="inlineStr">
        <is>
          <t>Piping fabric  - 100% Polyester satin fabric in silver color, Pantone Color - #14-4102TC</t>
        </is>
      </c>
      <c r="F61" s="11" t="n">
        <v>70</v>
      </c>
      <c r="G61" s="11" t="inlineStr">
        <is>
          <t>1/8" thickness</t>
        </is>
      </c>
      <c r="H61" s="11" t="inlineStr"/>
      <c r="I61" s="11" t="inlineStr">
        <is>
          <t>Silver</t>
        </is>
      </c>
      <c r="J61" s="10" t="inlineStr"/>
      <c r="K61" s="10" t="inlineStr"/>
      <c r="L61" s="10" t="inlineStr"/>
      <c r="M61" s="13">
        <f>IFERROR(K61*(1+L61/100)*VLOOKUP(B61,'1. Articles (SKUs)'!E:N,10,FALSE),"")</f>
        <v/>
      </c>
      <c r="N61" s="14" t="inlineStr"/>
    </row>
    <row r="62">
      <c r="A62" s="9" t="inlineStr">
        <is>
          <t>FT4</t>
        </is>
      </c>
      <c r="B62" s="9" t="inlineStr">
        <is>
          <t>GPMP52</t>
        </is>
      </c>
      <c r="C62" s="9" t="inlineStr">
        <is>
          <t>SPLIT HEAD QUEEN</t>
        </is>
      </c>
      <c r="D62" s="9" t="inlineStr">
        <is>
          <t>Platform</t>
        </is>
      </c>
      <c r="E62" s="9" t="inlineStr">
        <is>
          <t>110gsm - 100% Polyester terry knitted fabric with 0.02mm TPUwhite coating</t>
        </is>
      </c>
      <c r="F62" s="9" t="n">
        <v>110</v>
      </c>
      <c r="G62" s="9" t="inlineStr">
        <is>
          <t>32S Loop / 100D bottom</t>
        </is>
      </c>
      <c r="H62" s="9" t="inlineStr">
        <is>
          <t>A) 0.02mmTPU PU Coating in White Color  B)  SILVADUR (TM) 930 Antimicrobial ‐ PRN 98‐10                                                                                      C) Wick Away Treatment on Top Platform – TK-N02</t>
        </is>
      </c>
      <c r="I62" s="9" t="inlineStr">
        <is>
          <t>White</t>
        </is>
      </c>
      <c r="J62" s="10" t="inlineStr"/>
      <c r="K62" s="10" t="inlineStr"/>
      <c r="L62" s="10" t="inlineStr"/>
      <c r="M62" s="13">
        <f>IFERROR(K62*(1+L62/100)*VLOOKUP(B62,'1. Articles (SKUs)'!E:N,10,FALSE),"")</f>
        <v/>
      </c>
      <c r="N62" s="14" t="inlineStr"/>
    </row>
    <row r="63">
      <c r="A63" s="11" t="inlineStr">
        <is>
          <t>FT4</t>
        </is>
      </c>
      <c r="B63" s="11" t="inlineStr">
        <is>
          <t>GPMP52</t>
        </is>
      </c>
      <c r="C63" s="11" t="inlineStr">
        <is>
          <t>SPLIT HEAD QUEEN</t>
        </is>
      </c>
      <c r="D63" s="11" t="inlineStr">
        <is>
          <t>Skirt</t>
        </is>
      </c>
      <c r="E63" s="11" t="inlineStr">
        <is>
          <t>100% Polyester mesh knitted fabric</t>
        </is>
      </c>
      <c r="F63" s="11" t="n">
        <v>70</v>
      </c>
      <c r="G63" s="11" t="inlineStr"/>
      <c r="H63" s="11" t="inlineStr"/>
      <c r="I63" s="11" t="inlineStr"/>
      <c r="J63" s="10" t="inlineStr"/>
      <c r="K63" s="10" t="inlineStr"/>
      <c r="L63" s="10" t="inlineStr"/>
      <c r="M63" s="13">
        <f>IFERROR(K63*(1+L63/100)*VLOOKUP(B63,'1. Articles (SKUs)'!E:N,10,FALSE),"")</f>
        <v/>
      </c>
      <c r="N63" s="14" t="inlineStr"/>
    </row>
    <row r="64">
      <c r="A64" s="9" t="inlineStr">
        <is>
          <t>FT4</t>
        </is>
      </c>
      <c r="B64" s="9" t="inlineStr">
        <is>
          <t>GPMP52</t>
        </is>
      </c>
      <c r="C64" s="9" t="inlineStr">
        <is>
          <t>SPLIT HEAD QUEEN</t>
        </is>
      </c>
      <c r="D64" s="9" t="inlineStr">
        <is>
          <t>Piping</t>
        </is>
      </c>
      <c r="E64" s="9" t="inlineStr">
        <is>
          <t>Piping fabric  - 100% Polyester satin fabric in silver color, Pantone Color - #14-4102TC</t>
        </is>
      </c>
      <c r="F64" s="9" t="n">
        <v>70</v>
      </c>
      <c r="G64" s="9" t="inlineStr">
        <is>
          <t>1/8" thickness</t>
        </is>
      </c>
      <c r="H64" s="9" t="inlineStr"/>
      <c r="I64" s="9" t="inlineStr">
        <is>
          <t>Silver</t>
        </is>
      </c>
      <c r="J64" s="10" t="inlineStr"/>
      <c r="K64" s="10" t="inlineStr"/>
      <c r="L64" s="10" t="inlineStr"/>
      <c r="M64" s="13">
        <f>IFERROR(K64*(1+L64/100)*VLOOKUP(B64,'1. Articles (SKUs)'!E:N,10,FALSE),"")</f>
        <v/>
      </c>
      <c r="N64" s="14" t="inlineStr"/>
    </row>
    <row r="65">
      <c r="A65" s="11" t="inlineStr">
        <is>
          <t>FT4</t>
        </is>
      </c>
      <c r="B65" s="11" t="inlineStr">
        <is>
          <t>GPMP79</t>
        </is>
      </c>
      <c r="C65" s="11" t="inlineStr">
        <is>
          <t>SPLIT HEAD KING</t>
        </is>
      </c>
      <c r="D65" s="11" t="inlineStr">
        <is>
          <t>Platform</t>
        </is>
      </c>
      <c r="E65" s="11" t="inlineStr">
        <is>
          <t>110gsm - 100% Polyester terry knitted fabric with 0.02mm TPUwhite coating</t>
        </is>
      </c>
      <c r="F65" s="11" t="n">
        <v>110</v>
      </c>
      <c r="G65" s="11" t="inlineStr">
        <is>
          <t>32S Loop / 100D bottom</t>
        </is>
      </c>
      <c r="H65" s="11" t="inlineStr">
        <is>
          <t>A) 0.02mmTPU PU Coating in White Color  B)  SILVADUR (TM) 930 Antimicrobial ‐ PRN 98‐10                                                                                      C) Wick Away Treatment on Top Platform – TK-N02</t>
        </is>
      </c>
      <c r="I65" s="11" t="inlineStr">
        <is>
          <t>White</t>
        </is>
      </c>
      <c r="J65" s="10" t="inlineStr"/>
      <c r="K65" s="10" t="inlineStr"/>
      <c r="L65" s="10" t="inlineStr"/>
      <c r="M65" s="13">
        <f>IFERROR(K65*(1+L65/100)*VLOOKUP(B65,'1. Articles (SKUs)'!E:N,10,FALSE),"")</f>
        <v/>
      </c>
      <c r="N65" s="14" t="inlineStr"/>
    </row>
    <row r="66">
      <c r="A66" s="9" t="inlineStr">
        <is>
          <t>FT4</t>
        </is>
      </c>
      <c r="B66" s="9" t="inlineStr">
        <is>
          <t>GPMP79</t>
        </is>
      </c>
      <c r="C66" s="9" t="inlineStr">
        <is>
          <t>SPLIT HEAD KING</t>
        </is>
      </c>
      <c r="D66" s="9" t="inlineStr">
        <is>
          <t>Skirt</t>
        </is>
      </c>
      <c r="E66" s="9" t="inlineStr">
        <is>
          <t>100% Polyester mesh knitted fabric</t>
        </is>
      </c>
      <c r="F66" s="9" t="n">
        <v>70</v>
      </c>
      <c r="G66" s="9" t="inlineStr"/>
      <c r="H66" s="9" t="inlineStr"/>
      <c r="I66" s="9" t="inlineStr"/>
      <c r="J66" s="10" t="inlineStr"/>
      <c r="K66" s="10" t="inlineStr"/>
      <c r="L66" s="10" t="inlineStr"/>
      <c r="M66" s="13">
        <f>IFERROR(K66*(1+L66/100)*VLOOKUP(B66,'1. Articles (SKUs)'!E:N,10,FALSE),"")</f>
        <v/>
      </c>
      <c r="N66" s="14" t="inlineStr"/>
    </row>
    <row r="67">
      <c r="A67" s="11" t="inlineStr">
        <is>
          <t>FT4</t>
        </is>
      </c>
      <c r="B67" s="11" t="inlineStr">
        <is>
          <t>GPMP79</t>
        </is>
      </c>
      <c r="C67" s="11" t="inlineStr">
        <is>
          <t>SPLIT HEAD KING</t>
        </is>
      </c>
      <c r="D67" s="11" t="inlineStr">
        <is>
          <t>Piping</t>
        </is>
      </c>
      <c r="E67" s="11" t="inlineStr">
        <is>
          <t>Piping fabric  - 100% Polyester satin fabric in silver color, Pantone Color - #14-4102TC</t>
        </is>
      </c>
      <c r="F67" s="11" t="n">
        <v>70</v>
      </c>
      <c r="G67" s="11" t="inlineStr">
        <is>
          <t>1/8" thickness</t>
        </is>
      </c>
      <c r="H67" s="11" t="inlineStr"/>
      <c r="I67" s="11" t="inlineStr">
        <is>
          <t>Silver</t>
        </is>
      </c>
      <c r="J67" s="10" t="inlineStr"/>
      <c r="K67" s="10" t="inlineStr"/>
      <c r="L67" s="10" t="inlineStr"/>
      <c r="M67" s="13">
        <f>IFERROR(K67*(1+L67/100)*VLOOKUP(B67,'1. Articles (SKUs)'!E:N,10,FALSE),"")</f>
        <v/>
      </c>
      <c r="N67" s="14" t="inlineStr"/>
    </row>
    <row r="68">
      <c r="A68" s="9" t="inlineStr">
        <is>
          <t>FT9</t>
        </is>
      </c>
      <c r="B68" s="9" t="inlineStr">
        <is>
          <t>GPTE33</t>
        </is>
      </c>
      <c r="C68" s="9" t="inlineStr">
        <is>
          <t>TWIN</t>
        </is>
      </c>
      <c r="D68" s="9" t="inlineStr">
        <is>
          <t>Platform</t>
        </is>
      </c>
      <c r="E68" s="9" t="inlineStr">
        <is>
          <t>110gsm - 100% Polyester terry knitted fabric with 0.02mm TPUwhite coating</t>
        </is>
      </c>
      <c r="F68" s="9" t="n">
        <v>110</v>
      </c>
      <c r="G68" s="9" t="inlineStr">
        <is>
          <t>32S Loop / 100D bottom</t>
        </is>
      </c>
      <c r="H68" s="9" t="inlineStr">
        <is>
          <t>A) 0.02mmTPU PU Coating(Chinese TPU) in White Color  B)  SILVADUR (TM) 930 Antimicrobial ‐ PRN 98‐10                                                                                      C) Wick Away Treatment on Top Platform – TK-N02</t>
        </is>
      </c>
      <c r="I68" s="9" t="inlineStr">
        <is>
          <t>White</t>
        </is>
      </c>
      <c r="J68" s="10" t="inlineStr"/>
      <c r="K68" s="10" t="inlineStr"/>
      <c r="L68" s="10" t="inlineStr"/>
      <c r="M68" s="13">
        <f>IFERROR(K68*(1+L68/100)*VLOOKUP(B68,'1. Articles (SKUs)'!E:N,10,FALSE),"")</f>
        <v/>
      </c>
      <c r="N68" s="14" t="inlineStr"/>
    </row>
    <row r="69">
      <c r="A69" s="11" t="inlineStr">
        <is>
          <t>FT9</t>
        </is>
      </c>
      <c r="B69" s="11" t="inlineStr">
        <is>
          <t>GPTE33</t>
        </is>
      </c>
      <c r="C69" s="11" t="inlineStr">
        <is>
          <t>TWIN</t>
        </is>
      </c>
      <c r="D69" s="11" t="inlineStr">
        <is>
          <t>Bottom + Skirt</t>
        </is>
      </c>
      <c r="E69" s="11" t="inlineStr">
        <is>
          <t>70gsm - 100% Polyester interlock knitted fabric in white</t>
        </is>
      </c>
      <c r="F69" s="11" t="n">
        <v>70</v>
      </c>
      <c r="G69" s="11" t="inlineStr">
        <is>
          <t>33s</t>
        </is>
      </c>
      <c r="H69" s="11" t="inlineStr">
        <is>
          <t>A) 0.02mmTPU PU Coating(Chinese TPU) in White Color</t>
        </is>
      </c>
      <c r="I69" s="11" t="inlineStr">
        <is>
          <t>White</t>
        </is>
      </c>
      <c r="J69" s="10" t="inlineStr"/>
      <c r="K69" s="10" t="inlineStr"/>
      <c r="L69" s="10" t="inlineStr"/>
      <c r="M69" s="13">
        <f>IFERROR(K69*(1+L69/100)*VLOOKUP(B69,'1. Articles (SKUs)'!E:N,10,FALSE),"")</f>
        <v/>
      </c>
      <c r="N69" s="14" t="inlineStr"/>
    </row>
    <row r="70">
      <c r="A70" s="9" t="inlineStr">
        <is>
          <t>FT9</t>
        </is>
      </c>
      <c r="B70" s="9" t="inlineStr">
        <is>
          <t>GPTE33</t>
        </is>
      </c>
      <c r="C70" s="9" t="inlineStr">
        <is>
          <t>TWIN</t>
        </is>
      </c>
      <c r="D70" s="9" t="inlineStr">
        <is>
          <t>Piping</t>
        </is>
      </c>
      <c r="E70" s="9" t="inlineStr">
        <is>
          <t>Piping fabric  - 100% Polyester satin fabric in silver color, Pantone Color - #14-4102TC</t>
        </is>
      </c>
      <c r="F70" s="9" t="n">
        <v>70</v>
      </c>
      <c r="G70" s="9" t="inlineStr">
        <is>
          <t>1/8" thickness</t>
        </is>
      </c>
      <c r="H70" s="9" t="inlineStr"/>
      <c r="I70" s="9" t="inlineStr">
        <is>
          <t>Silver</t>
        </is>
      </c>
      <c r="J70" s="10" t="inlineStr"/>
      <c r="K70" s="10" t="inlineStr"/>
      <c r="L70" s="10" t="inlineStr"/>
      <c r="M70" s="13">
        <f>IFERROR(K70*(1+L70/100)*VLOOKUP(B70,'1. Articles (SKUs)'!E:N,10,FALSE),"")</f>
        <v/>
      </c>
      <c r="N70" s="14" t="inlineStr"/>
    </row>
    <row r="71">
      <c r="A71" s="11" t="inlineStr">
        <is>
          <t>FT9</t>
        </is>
      </c>
      <c r="B71" s="11" t="inlineStr">
        <is>
          <t>GPTE33</t>
        </is>
      </c>
      <c r="C71" s="11" t="inlineStr">
        <is>
          <t>TWIN</t>
        </is>
      </c>
      <c r="D71" s="11" t="inlineStr">
        <is>
          <t>Binding</t>
        </is>
      </c>
      <c r="E71" s="11" t="inlineStr">
        <is>
          <t>Bound seam fabric - 100% Polyester microfiber woven fabric in white color</t>
        </is>
      </c>
      <c r="F71" s="11" t="n">
        <v>70</v>
      </c>
      <c r="G71" s="11" t="inlineStr"/>
      <c r="H71" s="11" t="inlineStr"/>
      <c r="I71" s="11" t="inlineStr">
        <is>
          <t>White</t>
        </is>
      </c>
      <c r="J71" s="10" t="inlineStr"/>
      <c r="K71" s="10" t="inlineStr"/>
      <c r="L71" s="10" t="inlineStr"/>
      <c r="M71" s="13">
        <f>IFERROR(K71*(1+L71/100)*VLOOKUP(B71,'1. Articles (SKUs)'!E:N,10,FALSE),"")</f>
        <v/>
      </c>
      <c r="N71" s="14" t="inlineStr"/>
    </row>
    <row r="72">
      <c r="A72" s="9" t="inlineStr">
        <is>
          <t>FT9</t>
        </is>
      </c>
      <c r="B72" s="9" t="inlineStr">
        <is>
          <t>GPTE38</t>
        </is>
      </c>
      <c r="C72" s="9" t="inlineStr">
        <is>
          <t>TWIN XL</t>
        </is>
      </c>
      <c r="D72" s="9" t="inlineStr">
        <is>
          <t>Platform</t>
        </is>
      </c>
      <c r="E72" s="9" t="inlineStr">
        <is>
          <t>110gsm - 100% Polyester terry knitted fabric with 0.02mm TPUwhite coating</t>
        </is>
      </c>
      <c r="F72" s="9" t="n">
        <v>110</v>
      </c>
      <c r="G72" s="9" t="inlineStr">
        <is>
          <t>32S Loop / 100D bottom</t>
        </is>
      </c>
      <c r="H72" s="9" t="inlineStr">
        <is>
          <t>A) 0.02mmTPU PU Coating(Chinese TPU) in White Color  B)  SILVADUR (TM) 930 Antimicrobial ‐ PRN 98‐10                                                                                      C) Wick Away Treatment on Top Platform – TK-N02</t>
        </is>
      </c>
      <c r="I72" s="9" t="inlineStr">
        <is>
          <t>White</t>
        </is>
      </c>
      <c r="J72" s="10" t="inlineStr"/>
      <c r="K72" s="10" t="inlineStr"/>
      <c r="L72" s="10" t="inlineStr"/>
      <c r="M72" s="13">
        <f>IFERROR(K72*(1+L72/100)*VLOOKUP(B72,'1. Articles (SKUs)'!E:N,10,FALSE),"")</f>
        <v/>
      </c>
      <c r="N72" s="14" t="inlineStr"/>
    </row>
    <row r="73">
      <c r="A73" s="11" t="inlineStr">
        <is>
          <t>FT9</t>
        </is>
      </c>
      <c r="B73" s="11" t="inlineStr">
        <is>
          <t>GPTE38</t>
        </is>
      </c>
      <c r="C73" s="11" t="inlineStr">
        <is>
          <t>TWIN XL</t>
        </is>
      </c>
      <c r="D73" s="11" t="inlineStr">
        <is>
          <t>Bottom + Skirt</t>
        </is>
      </c>
      <c r="E73" s="11" t="inlineStr">
        <is>
          <t>70gsm - 100% Polyester interlock knitted fabric in white</t>
        </is>
      </c>
      <c r="F73" s="11" t="n">
        <v>70</v>
      </c>
      <c r="G73" s="11" t="inlineStr">
        <is>
          <t>33s</t>
        </is>
      </c>
      <c r="H73" s="11" t="inlineStr">
        <is>
          <t>A) 0.02mmTPU PU Coating(Chinese TPU) in White Color</t>
        </is>
      </c>
      <c r="I73" s="11" t="inlineStr">
        <is>
          <t>White</t>
        </is>
      </c>
      <c r="J73" s="10" t="inlineStr"/>
      <c r="K73" s="10" t="inlineStr"/>
      <c r="L73" s="10" t="inlineStr"/>
      <c r="M73" s="13">
        <f>IFERROR(K73*(1+L73/100)*VLOOKUP(B73,'1. Articles (SKUs)'!E:N,10,FALSE),"")</f>
        <v/>
      </c>
      <c r="N73" s="14" t="inlineStr"/>
    </row>
    <row r="74">
      <c r="A74" s="9" t="inlineStr">
        <is>
          <t>FT9</t>
        </is>
      </c>
      <c r="B74" s="9" t="inlineStr">
        <is>
          <t>GPTE38</t>
        </is>
      </c>
      <c r="C74" s="9" t="inlineStr">
        <is>
          <t>TWIN XL</t>
        </is>
      </c>
      <c r="D74" s="9" t="inlineStr">
        <is>
          <t>Piping</t>
        </is>
      </c>
      <c r="E74" s="9" t="inlineStr">
        <is>
          <t>Piping fabric  - 100% Polyester satin fabric in silver color, Pantone Color - #14-4102TC</t>
        </is>
      </c>
      <c r="F74" s="9" t="n">
        <v>70</v>
      </c>
      <c r="G74" s="9" t="inlineStr">
        <is>
          <t>1/8" thickness</t>
        </is>
      </c>
      <c r="H74" s="9" t="inlineStr"/>
      <c r="I74" s="9" t="inlineStr">
        <is>
          <t>Silver</t>
        </is>
      </c>
      <c r="J74" s="10" t="inlineStr"/>
      <c r="K74" s="10" t="inlineStr"/>
      <c r="L74" s="10" t="inlineStr"/>
      <c r="M74" s="13">
        <f>IFERROR(K74*(1+L74/100)*VLOOKUP(B74,'1. Articles (SKUs)'!E:N,10,FALSE),"")</f>
        <v/>
      </c>
      <c r="N74" s="14" t="inlineStr"/>
    </row>
    <row r="75">
      <c r="A75" s="11" t="inlineStr">
        <is>
          <t>FT9</t>
        </is>
      </c>
      <c r="B75" s="11" t="inlineStr">
        <is>
          <t>GPTE38</t>
        </is>
      </c>
      <c r="C75" s="11" t="inlineStr">
        <is>
          <t>TWIN XL</t>
        </is>
      </c>
      <c r="D75" s="11" t="inlineStr">
        <is>
          <t>Binding</t>
        </is>
      </c>
      <c r="E75" s="11" t="inlineStr">
        <is>
          <t>Bound seam fabric - 100% Polyester microfiber woven fabric in white color</t>
        </is>
      </c>
      <c r="F75" s="11" t="n">
        <v>70</v>
      </c>
      <c r="G75" s="11" t="inlineStr"/>
      <c r="H75" s="11" t="inlineStr"/>
      <c r="I75" s="11" t="inlineStr">
        <is>
          <t>White</t>
        </is>
      </c>
      <c r="J75" s="10" t="inlineStr"/>
      <c r="K75" s="10" t="inlineStr"/>
      <c r="L75" s="10" t="inlineStr"/>
      <c r="M75" s="13">
        <f>IFERROR(K75*(1+L75/100)*VLOOKUP(B75,'1. Articles (SKUs)'!E:N,10,FALSE),"")</f>
        <v/>
      </c>
      <c r="N75" s="14" t="inlineStr"/>
    </row>
    <row r="76">
      <c r="A76" s="9" t="inlineStr">
        <is>
          <t>FT9</t>
        </is>
      </c>
      <c r="B76" s="9" t="inlineStr">
        <is>
          <t>GPTE46</t>
        </is>
      </c>
      <c r="C76" s="9" t="inlineStr">
        <is>
          <t>FULL</t>
        </is>
      </c>
      <c r="D76" s="9" t="inlineStr">
        <is>
          <t>Platform</t>
        </is>
      </c>
      <c r="E76" s="9" t="inlineStr">
        <is>
          <t>110gsm - 100% Polyester terry knitted fabric with 0.02mm TPUwhite coating</t>
        </is>
      </c>
      <c r="F76" s="9" t="n">
        <v>110</v>
      </c>
      <c r="G76" s="9" t="inlineStr">
        <is>
          <t>32S Loop / 100D bottom</t>
        </is>
      </c>
      <c r="H76" s="9" t="inlineStr">
        <is>
          <t>A) 0.02mmTPU PU Coating(Chinese TPU) in White Color  B)  SILVADUR (TM) 930 Antimicrobial ‐ PRN 98‐10                                                                                      C) Wick Away Treatment on Top Platform – TK-N02</t>
        </is>
      </c>
      <c r="I76" s="9" t="inlineStr">
        <is>
          <t>White</t>
        </is>
      </c>
      <c r="J76" s="10" t="inlineStr"/>
      <c r="K76" s="10" t="inlineStr"/>
      <c r="L76" s="10" t="inlineStr"/>
      <c r="M76" s="13">
        <f>IFERROR(K76*(1+L76/100)*VLOOKUP(B76,'1. Articles (SKUs)'!E:N,10,FALSE),"")</f>
        <v/>
      </c>
      <c r="N76" s="14" t="inlineStr"/>
    </row>
    <row r="77">
      <c r="A77" s="11" t="inlineStr">
        <is>
          <t>FT9</t>
        </is>
      </c>
      <c r="B77" s="11" t="inlineStr">
        <is>
          <t>GPTE46</t>
        </is>
      </c>
      <c r="C77" s="11" t="inlineStr">
        <is>
          <t>FULL</t>
        </is>
      </c>
      <c r="D77" s="11" t="inlineStr">
        <is>
          <t>Bottom + Skirt</t>
        </is>
      </c>
      <c r="E77" s="11" t="inlineStr">
        <is>
          <t>70gsm - 100% Polyester interlock knitted fabric in white</t>
        </is>
      </c>
      <c r="F77" s="11" t="n">
        <v>70</v>
      </c>
      <c r="G77" s="11" t="inlineStr">
        <is>
          <t>33s</t>
        </is>
      </c>
      <c r="H77" s="11" t="inlineStr">
        <is>
          <t>A) 0.02mmTPU PU Coating(Chinese TPU) in White Color</t>
        </is>
      </c>
      <c r="I77" s="11" t="inlineStr">
        <is>
          <t>White</t>
        </is>
      </c>
      <c r="J77" s="10" t="inlineStr"/>
      <c r="K77" s="10" t="inlineStr"/>
      <c r="L77" s="10" t="inlineStr"/>
      <c r="M77" s="13">
        <f>IFERROR(K77*(1+L77/100)*VLOOKUP(B77,'1. Articles (SKUs)'!E:N,10,FALSE),"")</f>
        <v/>
      </c>
      <c r="N77" s="14" t="inlineStr"/>
    </row>
    <row r="78">
      <c r="A78" s="9" t="inlineStr">
        <is>
          <t>FT9</t>
        </is>
      </c>
      <c r="B78" s="9" t="inlineStr">
        <is>
          <t>GPTE46</t>
        </is>
      </c>
      <c r="C78" s="9" t="inlineStr">
        <is>
          <t>FULL</t>
        </is>
      </c>
      <c r="D78" s="9" t="inlineStr">
        <is>
          <t>Piping</t>
        </is>
      </c>
      <c r="E78" s="9" t="inlineStr">
        <is>
          <t>Piping fabric  - 100% Polyester satin fabric in silver color, Pantone Color - #14-4102TC</t>
        </is>
      </c>
      <c r="F78" s="9" t="n">
        <v>70</v>
      </c>
      <c r="G78" s="9" t="inlineStr">
        <is>
          <t>1/8" thickness</t>
        </is>
      </c>
      <c r="H78" s="9" t="inlineStr"/>
      <c r="I78" s="9" t="inlineStr">
        <is>
          <t>Silver</t>
        </is>
      </c>
      <c r="J78" s="10" t="inlineStr"/>
      <c r="K78" s="10" t="inlineStr"/>
      <c r="L78" s="10" t="inlineStr"/>
      <c r="M78" s="13">
        <f>IFERROR(K78*(1+L78/100)*VLOOKUP(B78,'1. Articles (SKUs)'!E:N,10,FALSE),"")</f>
        <v/>
      </c>
      <c r="N78" s="14" t="inlineStr"/>
    </row>
    <row r="79">
      <c r="A79" s="11" t="inlineStr">
        <is>
          <t>FT9</t>
        </is>
      </c>
      <c r="B79" s="11" t="inlineStr">
        <is>
          <t>GPTE46</t>
        </is>
      </c>
      <c r="C79" s="11" t="inlineStr">
        <is>
          <t>FULL</t>
        </is>
      </c>
      <c r="D79" s="11" t="inlineStr">
        <is>
          <t>Binding</t>
        </is>
      </c>
      <c r="E79" s="11" t="inlineStr">
        <is>
          <t>Bound seam fabric - 100% Polyester microfiber woven fabric in white color</t>
        </is>
      </c>
      <c r="F79" s="11" t="n">
        <v>70</v>
      </c>
      <c r="G79" s="11" t="inlineStr"/>
      <c r="H79" s="11" t="inlineStr"/>
      <c r="I79" s="11" t="inlineStr">
        <is>
          <t>White</t>
        </is>
      </c>
      <c r="J79" s="10" t="inlineStr"/>
      <c r="K79" s="10" t="inlineStr"/>
      <c r="L79" s="10" t="inlineStr"/>
      <c r="M79" s="13">
        <f>IFERROR(K79*(1+L79/100)*VLOOKUP(B79,'1. Articles (SKUs)'!E:N,10,FALSE),"")</f>
        <v/>
      </c>
      <c r="N79" s="14" t="inlineStr"/>
    </row>
    <row r="80">
      <c r="A80" s="9" t="inlineStr">
        <is>
          <t>FT9</t>
        </is>
      </c>
      <c r="B80" s="9" t="inlineStr">
        <is>
          <t>GPTE80</t>
        </is>
      </c>
      <c r="C80" s="9" t="inlineStr">
        <is>
          <t>FULL XL</t>
        </is>
      </c>
      <c r="D80" s="9" t="inlineStr">
        <is>
          <t>Platform</t>
        </is>
      </c>
      <c r="E80" s="9" t="inlineStr">
        <is>
          <t>110gsm - 100% Polyester terry knitted fabric with 0.02mm TPUwhite coating</t>
        </is>
      </c>
      <c r="F80" s="9" t="n">
        <v>110</v>
      </c>
      <c r="G80" s="9" t="inlineStr">
        <is>
          <t>32S Loop / 100D bottom</t>
        </is>
      </c>
      <c r="H80" s="9" t="inlineStr">
        <is>
          <t>A) 0.02mmTPU PU Coating(Chinese TPU) in White Color  B)  SILVADUR (TM) 930 Antimicrobial ‐ PRN 98‐10                                                                                      C) Wick Away Treatment on Top Platform – TK-N02</t>
        </is>
      </c>
      <c r="I80" s="9" t="inlineStr">
        <is>
          <t>White</t>
        </is>
      </c>
      <c r="J80" s="10" t="inlineStr"/>
      <c r="K80" s="10" t="inlineStr"/>
      <c r="L80" s="10" t="inlineStr"/>
      <c r="M80" s="13">
        <f>IFERROR(K80*(1+L80/100)*VLOOKUP(B80,'1. Articles (SKUs)'!E:N,10,FALSE),"")</f>
        <v/>
      </c>
      <c r="N80" s="14" t="inlineStr"/>
    </row>
    <row r="81">
      <c r="A81" s="11" t="inlineStr">
        <is>
          <t>FT9</t>
        </is>
      </c>
      <c r="B81" s="11" t="inlineStr">
        <is>
          <t>GPTE80</t>
        </is>
      </c>
      <c r="C81" s="11" t="inlineStr">
        <is>
          <t>FULL XL</t>
        </is>
      </c>
      <c r="D81" s="11" t="inlineStr">
        <is>
          <t>Bottom + Skirt</t>
        </is>
      </c>
      <c r="E81" s="11" t="inlineStr">
        <is>
          <t>70gsm - 100% Polyester interlock knitted fabric in white</t>
        </is>
      </c>
      <c r="F81" s="11" t="n">
        <v>70</v>
      </c>
      <c r="G81" s="11" t="inlineStr">
        <is>
          <t>33s</t>
        </is>
      </c>
      <c r="H81" s="11" t="inlineStr">
        <is>
          <t>A) 0.02mmTPU PU Coating(Chinese TPU) in White Color</t>
        </is>
      </c>
      <c r="I81" s="11" t="inlineStr">
        <is>
          <t>White</t>
        </is>
      </c>
      <c r="J81" s="10" t="inlineStr"/>
      <c r="K81" s="10" t="inlineStr"/>
      <c r="L81" s="10" t="inlineStr"/>
      <c r="M81" s="13">
        <f>IFERROR(K81*(1+L81/100)*VLOOKUP(B81,'1. Articles (SKUs)'!E:N,10,FALSE),"")</f>
        <v/>
      </c>
      <c r="N81" s="14" t="inlineStr"/>
    </row>
    <row r="82">
      <c r="A82" s="9" t="inlineStr">
        <is>
          <t>FT9</t>
        </is>
      </c>
      <c r="B82" s="9" t="inlineStr">
        <is>
          <t>GPTE80</t>
        </is>
      </c>
      <c r="C82" s="9" t="inlineStr">
        <is>
          <t>FULL XL</t>
        </is>
      </c>
      <c r="D82" s="9" t="inlineStr">
        <is>
          <t>Piping</t>
        </is>
      </c>
      <c r="E82" s="9" t="inlineStr">
        <is>
          <t>Piping fabric  - 100% Polyester satin fabric in silver color, Pantone Color - #14-4102TC</t>
        </is>
      </c>
      <c r="F82" s="9" t="n">
        <v>70</v>
      </c>
      <c r="G82" s="9" t="inlineStr">
        <is>
          <t>1/8" thickness</t>
        </is>
      </c>
      <c r="H82" s="9" t="inlineStr"/>
      <c r="I82" s="9" t="inlineStr">
        <is>
          <t>Silver</t>
        </is>
      </c>
      <c r="J82" s="10" t="inlineStr"/>
      <c r="K82" s="10" t="inlineStr"/>
      <c r="L82" s="10" t="inlineStr"/>
      <c r="M82" s="13">
        <f>IFERROR(K82*(1+L82/100)*VLOOKUP(B82,'1. Articles (SKUs)'!E:N,10,FALSE),"")</f>
        <v/>
      </c>
      <c r="N82" s="14" t="inlineStr"/>
    </row>
    <row r="83">
      <c r="A83" s="11" t="inlineStr">
        <is>
          <t>FT9</t>
        </is>
      </c>
      <c r="B83" s="11" t="inlineStr">
        <is>
          <t>GPTE80</t>
        </is>
      </c>
      <c r="C83" s="11" t="inlineStr">
        <is>
          <t>FULL XL</t>
        </is>
      </c>
      <c r="D83" s="11" t="inlineStr">
        <is>
          <t>Binding</t>
        </is>
      </c>
      <c r="E83" s="11" t="inlineStr">
        <is>
          <t>Bound seam fabric - 100% Polyester microfiber woven fabric in white color</t>
        </is>
      </c>
      <c r="F83" s="11" t="n">
        <v>70</v>
      </c>
      <c r="G83" s="11" t="inlineStr"/>
      <c r="H83" s="11" t="inlineStr"/>
      <c r="I83" s="11" t="inlineStr">
        <is>
          <t>White</t>
        </is>
      </c>
      <c r="J83" s="10" t="inlineStr"/>
      <c r="K83" s="10" t="inlineStr"/>
      <c r="L83" s="10" t="inlineStr"/>
      <c r="M83" s="13">
        <f>IFERROR(K83*(1+L83/100)*VLOOKUP(B83,'1. Articles (SKUs)'!E:N,10,FALSE),"")</f>
        <v/>
      </c>
      <c r="N83" s="14" t="inlineStr"/>
    </row>
    <row r="84">
      <c r="A84" s="9" t="inlineStr">
        <is>
          <t>FT9</t>
        </is>
      </c>
      <c r="B84" s="9" t="inlineStr">
        <is>
          <t>GPTE50</t>
        </is>
      </c>
      <c r="C84" s="9" t="inlineStr">
        <is>
          <t>QUEEN</t>
        </is>
      </c>
      <c r="D84" s="9" t="inlineStr">
        <is>
          <t>Platform</t>
        </is>
      </c>
      <c r="E84" s="9" t="inlineStr">
        <is>
          <t>110gsm - 100% Polyester terry knitted fabric with 0.02mm TPUwhite coating</t>
        </is>
      </c>
      <c r="F84" s="9" t="n">
        <v>110</v>
      </c>
      <c r="G84" s="9" t="inlineStr">
        <is>
          <t>32S Loop / 100D bottom</t>
        </is>
      </c>
      <c r="H84" s="9" t="inlineStr">
        <is>
          <t>A) 0.02mmTPU PU Coating(Chinese TPU) in White Color  B)  SILVADUR (TM) 930 Antimicrobial ‐ PRN 98‐10                                                                                      C) Wick Away Treatment on Top Platform – TK-N02</t>
        </is>
      </c>
      <c r="I84" s="9" t="inlineStr">
        <is>
          <t>White</t>
        </is>
      </c>
      <c r="J84" s="10" t="inlineStr"/>
      <c r="K84" s="10" t="inlineStr"/>
      <c r="L84" s="10" t="inlineStr"/>
      <c r="M84" s="13">
        <f>IFERROR(K84*(1+L84/100)*VLOOKUP(B84,'1. Articles (SKUs)'!E:N,10,FALSE),"")</f>
        <v/>
      </c>
      <c r="N84" s="14" t="inlineStr"/>
    </row>
    <row r="85">
      <c r="A85" s="11" t="inlineStr">
        <is>
          <t>FT9</t>
        </is>
      </c>
      <c r="B85" s="11" t="inlineStr">
        <is>
          <t>GPTE50</t>
        </is>
      </c>
      <c r="C85" s="11" t="inlineStr">
        <is>
          <t>QUEEN</t>
        </is>
      </c>
      <c r="D85" s="11" t="inlineStr">
        <is>
          <t>Bottom + Skirt</t>
        </is>
      </c>
      <c r="E85" s="11" t="inlineStr">
        <is>
          <t>70gsm - 100% Polyester interlock knitted fabric in white</t>
        </is>
      </c>
      <c r="F85" s="11" t="n">
        <v>70</v>
      </c>
      <c r="G85" s="11" t="inlineStr">
        <is>
          <t>33s</t>
        </is>
      </c>
      <c r="H85" s="11" t="inlineStr">
        <is>
          <t>A) 0.02mmTPU PU Coating(Chinese TPU) in White Color</t>
        </is>
      </c>
      <c r="I85" s="11" t="inlineStr">
        <is>
          <t>White</t>
        </is>
      </c>
      <c r="J85" s="10" t="inlineStr"/>
      <c r="K85" s="10" t="inlineStr"/>
      <c r="L85" s="10" t="inlineStr"/>
      <c r="M85" s="13">
        <f>IFERROR(K85*(1+L85/100)*VLOOKUP(B85,'1. Articles (SKUs)'!E:N,10,FALSE),"")</f>
        <v/>
      </c>
      <c r="N85" s="14" t="inlineStr"/>
    </row>
    <row r="86">
      <c r="A86" s="9" t="inlineStr">
        <is>
          <t>FT9</t>
        </is>
      </c>
      <c r="B86" s="9" t="inlineStr">
        <is>
          <t>GPTE50</t>
        </is>
      </c>
      <c r="C86" s="9" t="inlineStr">
        <is>
          <t>QUEEN</t>
        </is>
      </c>
      <c r="D86" s="9" t="inlineStr">
        <is>
          <t>Piping</t>
        </is>
      </c>
      <c r="E86" s="9" t="inlineStr">
        <is>
          <t>Piping fabric  - 100% Polyester satin fabric in silver color, Pantone Color - #14-4102TC</t>
        </is>
      </c>
      <c r="F86" s="9" t="n">
        <v>70</v>
      </c>
      <c r="G86" s="9" t="inlineStr">
        <is>
          <t>1/8" thickness</t>
        </is>
      </c>
      <c r="H86" s="9" t="inlineStr"/>
      <c r="I86" s="9" t="inlineStr">
        <is>
          <t>Silver</t>
        </is>
      </c>
      <c r="J86" s="10" t="inlineStr"/>
      <c r="K86" s="10" t="inlineStr"/>
      <c r="L86" s="10" t="inlineStr"/>
      <c r="M86" s="13">
        <f>IFERROR(K86*(1+L86/100)*VLOOKUP(B86,'1. Articles (SKUs)'!E:N,10,FALSE),"")</f>
        <v/>
      </c>
      <c r="N86" s="14" t="inlineStr"/>
    </row>
    <row r="87">
      <c r="A87" s="11" t="inlineStr">
        <is>
          <t>FT9</t>
        </is>
      </c>
      <c r="B87" s="11" t="inlineStr">
        <is>
          <t>GPTE50</t>
        </is>
      </c>
      <c r="C87" s="11" t="inlineStr">
        <is>
          <t>QUEEN</t>
        </is>
      </c>
      <c r="D87" s="11" t="inlineStr">
        <is>
          <t>Binding</t>
        </is>
      </c>
      <c r="E87" s="11" t="inlineStr">
        <is>
          <t>Bound seam fabric - 100% Polyester microfiber woven fabric in white color</t>
        </is>
      </c>
      <c r="F87" s="11" t="n">
        <v>70</v>
      </c>
      <c r="G87" s="11" t="inlineStr"/>
      <c r="H87" s="11" t="inlineStr"/>
      <c r="I87" s="11" t="inlineStr">
        <is>
          <t>White</t>
        </is>
      </c>
      <c r="J87" s="10" t="inlineStr"/>
      <c r="K87" s="10" t="inlineStr"/>
      <c r="L87" s="10" t="inlineStr"/>
      <c r="M87" s="13">
        <f>IFERROR(K87*(1+L87/100)*VLOOKUP(B87,'1. Articles (SKUs)'!E:N,10,FALSE),"")</f>
        <v/>
      </c>
      <c r="N87" s="14" t="inlineStr"/>
    </row>
    <row r="88">
      <c r="A88" s="9" t="inlineStr">
        <is>
          <t>FT9</t>
        </is>
      </c>
      <c r="B88" s="9" t="inlineStr">
        <is>
          <t>GPTE78</t>
        </is>
      </c>
      <c r="C88" s="9" t="inlineStr">
        <is>
          <t>KING</t>
        </is>
      </c>
      <c r="D88" s="9" t="inlineStr">
        <is>
          <t>Platform</t>
        </is>
      </c>
      <c r="E88" s="9" t="inlineStr">
        <is>
          <t>110gsm - 100% Polyester terry knitted fabric with 0.02mm TPUwhite coating</t>
        </is>
      </c>
      <c r="F88" s="9" t="n">
        <v>110</v>
      </c>
      <c r="G88" s="9" t="inlineStr">
        <is>
          <t>32S Loop / 100D bottom</t>
        </is>
      </c>
      <c r="H88" s="9" t="inlineStr">
        <is>
          <t>A) 0.02mmTPU PU Coating(Chinese TPU) in White Color  B)  SILVADUR (TM) 930 Antimicrobial ‐ PRN 98‐10                                                                                      C) Wick Away Treatment on Top Platform – TK-N02</t>
        </is>
      </c>
      <c r="I88" s="9" t="inlineStr">
        <is>
          <t>White</t>
        </is>
      </c>
      <c r="J88" s="10" t="inlineStr"/>
      <c r="K88" s="10" t="inlineStr"/>
      <c r="L88" s="10" t="inlineStr"/>
      <c r="M88" s="13">
        <f>IFERROR(K88*(1+L88/100)*VLOOKUP(B88,'1. Articles (SKUs)'!E:N,10,FALSE),"")</f>
        <v/>
      </c>
      <c r="N88" s="14" t="inlineStr"/>
    </row>
    <row r="89">
      <c r="A89" s="11" t="inlineStr">
        <is>
          <t>FT9</t>
        </is>
      </c>
      <c r="B89" s="11" t="inlineStr">
        <is>
          <t>GPTE78</t>
        </is>
      </c>
      <c r="C89" s="11" t="inlineStr">
        <is>
          <t>KING</t>
        </is>
      </c>
      <c r="D89" s="11" t="inlineStr">
        <is>
          <t>Bottom + Skirt</t>
        </is>
      </c>
      <c r="E89" s="11" t="inlineStr">
        <is>
          <t>70gsm - 100% Polyester interlock knitted fabric in white</t>
        </is>
      </c>
      <c r="F89" s="11" t="n">
        <v>70</v>
      </c>
      <c r="G89" s="11" t="inlineStr">
        <is>
          <t>33s</t>
        </is>
      </c>
      <c r="H89" s="11" t="inlineStr">
        <is>
          <t>A) 0.02mmTPU PU Coating(Chinese TPU) in White Color</t>
        </is>
      </c>
      <c r="I89" s="11" t="inlineStr">
        <is>
          <t>White</t>
        </is>
      </c>
      <c r="J89" s="10" t="inlineStr"/>
      <c r="K89" s="10" t="inlineStr"/>
      <c r="L89" s="10" t="inlineStr"/>
      <c r="M89" s="13">
        <f>IFERROR(K89*(1+L89/100)*VLOOKUP(B89,'1. Articles (SKUs)'!E:N,10,FALSE),"")</f>
        <v/>
      </c>
      <c r="N89" s="14" t="inlineStr"/>
    </row>
    <row r="90">
      <c r="A90" s="9" t="inlineStr">
        <is>
          <t>FT9</t>
        </is>
      </c>
      <c r="B90" s="9" t="inlineStr">
        <is>
          <t>GPTE78</t>
        </is>
      </c>
      <c r="C90" s="9" t="inlineStr">
        <is>
          <t>KING</t>
        </is>
      </c>
      <c r="D90" s="9" t="inlineStr">
        <is>
          <t>Piping</t>
        </is>
      </c>
      <c r="E90" s="9" t="inlineStr">
        <is>
          <t>Piping fabric  - 100% Polyester satin fabric in silver color, Pantone Color - #14-4102TC</t>
        </is>
      </c>
      <c r="F90" s="9" t="n">
        <v>70</v>
      </c>
      <c r="G90" s="9" t="inlineStr">
        <is>
          <t>1/8" thickness</t>
        </is>
      </c>
      <c r="H90" s="9" t="inlineStr"/>
      <c r="I90" s="9" t="inlineStr">
        <is>
          <t>Silver</t>
        </is>
      </c>
      <c r="J90" s="10" t="inlineStr"/>
      <c r="K90" s="10" t="inlineStr"/>
      <c r="L90" s="10" t="inlineStr"/>
      <c r="M90" s="13">
        <f>IFERROR(K90*(1+L90/100)*VLOOKUP(B90,'1. Articles (SKUs)'!E:N,10,FALSE),"")</f>
        <v/>
      </c>
      <c r="N90" s="14" t="inlineStr"/>
    </row>
    <row r="91">
      <c r="A91" s="11" t="inlineStr">
        <is>
          <t>FT9</t>
        </is>
      </c>
      <c r="B91" s="11" t="inlineStr">
        <is>
          <t>GPTE78</t>
        </is>
      </c>
      <c r="C91" s="11" t="inlineStr">
        <is>
          <t>KING</t>
        </is>
      </c>
      <c r="D91" s="11" t="inlineStr">
        <is>
          <t>Binding</t>
        </is>
      </c>
      <c r="E91" s="11" t="inlineStr">
        <is>
          <t>Bound seam fabric - 100% Polyester microfiber woven fabric in white color</t>
        </is>
      </c>
      <c r="F91" s="11" t="n">
        <v>70</v>
      </c>
      <c r="G91" s="11" t="inlineStr"/>
      <c r="H91" s="11" t="inlineStr"/>
      <c r="I91" s="11" t="inlineStr">
        <is>
          <t>White</t>
        </is>
      </c>
      <c r="J91" s="10" t="inlineStr"/>
      <c r="K91" s="10" t="inlineStr"/>
      <c r="L91" s="10" t="inlineStr"/>
      <c r="M91" s="13">
        <f>IFERROR(K91*(1+L91/100)*VLOOKUP(B91,'1. Articles (SKUs)'!E:N,10,FALSE),"")</f>
        <v/>
      </c>
      <c r="N91" s="14" t="inlineStr"/>
    </row>
    <row r="92">
      <c r="A92" s="9" t="inlineStr">
        <is>
          <t>FT9</t>
        </is>
      </c>
      <c r="B92" s="9" t="inlineStr">
        <is>
          <t>GPTE72</t>
        </is>
      </c>
      <c r="C92" s="9" t="inlineStr">
        <is>
          <t>CAL KING</t>
        </is>
      </c>
      <c r="D92" s="9" t="inlineStr">
        <is>
          <t>Platform</t>
        </is>
      </c>
      <c r="E92" s="9" t="inlineStr">
        <is>
          <t>110gsm - 100% Polyester terry knitted fabric with 0.02mm TPUwhite coating</t>
        </is>
      </c>
      <c r="F92" s="9" t="n">
        <v>110</v>
      </c>
      <c r="G92" s="9" t="inlineStr">
        <is>
          <t>32S Loop / 100D bottom</t>
        </is>
      </c>
      <c r="H92" s="9" t="inlineStr">
        <is>
          <t>A) 0.02mmTPU PU Coating(Chinese TPU) in White Color  B)  SILVADUR (TM) 930 Antimicrobial ‐ PRN 98‐10                                                                                      C) Wick Away Treatment on Top Platform – TK-N02</t>
        </is>
      </c>
      <c r="I92" s="9" t="inlineStr">
        <is>
          <t>White</t>
        </is>
      </c>
      <c r="J92" s="10" t="inlineStr"/>
      <c r="K92" s="10" t="inlineStr"/>
      <c r="L92" s="10" t="inlineStr"/>
      <c r="M92" s="13">
        <f>IFERROR(K92*(1+L92/100)*VLOOKUP(B92,'1. Articles (SKUs)'!E:N,10,FALSE),"")</f>
        <v/>
      </c>
      <c r="N92" s="14" t="inlineStr"/>
    </row>
    <row r="93">
      <c r="A93" s="11" t="inlineStr">
        <is>
          <t>FT9</t>
        </is>
      </c>
      <c r="B93" s="11" t="inlineStr">
        <is>
          <t>GPTE72</t>
        </is>
      </c>
      <c r="C93" s="11" t="inlineStr">
        <is>
          <t>CAL KING</t>
        </is>
      </c>
      <c r="D93" s="11" t="inlineStr">
        <is>
          <t>Bottom + Skirt</t>
        </is>
      </c>
      <c r="E93" s="11" t="inlineStr">
        <is>
          <t>70gsm - 100% Polyester interlock knitted fabric in white</t>
        </is>
      </c>
      <c r="F93" s="11" t="n">
        <v>70</v>
      </c>
      <c r="G93" s="11" t="inlineStr">
        <is>
          <t>33s</t>
        </is>
      </c>
      <c r="H93" s="11" t="inlineStr">
        <is>
          <t>A) 0.02mmTPU PU Coating(Chinese TPU) in White Color</t>
        </is>
      </c>
      <c r="I93" s="11" t="inlineStr">
        <is>
          <t>White</t>
        </is>
      </c>
      <c r="J93" s="10" t="inlineStr"/>
      <c r="K93" s="10" t="inlineStr"/>
      <c r="L93" s="10" t="inlineStr"/>
      <c r="M93" s="13">
        <f>IFERROR(K93*(1+L93/100)*VLOOKUP(B93,'1. Articles (SKUs)'!E:N,10,FALSE),"")</f>
        <v/>
      </c>
      <c r="N93" s="14" t="inlineStr"/>
    </row>
    <row r="94">
      <c r="A94" s="9" t="inlineStr">
        <is>
          <t>FT9</t>
        </is>
      </c>
      <c r="B94" s="9" t="inlineStr">
        <is>
          <t>GPTE72</t>
        </is>
      </c>
      <c r="C94" s="9" t="inlineStr">
        <is>
          <t>CAL KING</t>
        </is>
      </c>
      <c r="D94" s="9" t="inlineStr">
        <is>
          <t>Piping</t>
        </is>
      </c>
      <c r="E94" s="9" t="inlineStr">
        <is>
          <t>Piping fabric  - 100% Polyester satin fabric in silver color, Pantone Color - #14-4102TC</t>
        </is>
      </c>
      <c r="F94" s="9" t="n">
        <v>70</v>
      </c>
      <c r="G94" s="9" t="inlineStr">
        <is>
          <t>1/8" thickness</t>
        </is>
      </c>
      <c r="H94" s="9" t="inlineStr"/>
      <c r="I94" s="9" t="inlineStr">
        <is>
          <t>Silver</t>
        </is>
      </c>
      <c r="J94" s="10" t="inlineStr"/>
      <c r="K94" s="10" t="inlineStr"/>
      <c r="L94" s="10" t="inlineStr"/>
      <c r="M94" s="13">
        <f>IFERROR(K94*(1+L94/100)*VLOOKUP(B94,'1. Articles (SKUs)'!E:N,10,FALSE),"")</f>
        <v/>
      </c>
      <c r="N94" s="14" t="inlineStr"/>
    </row>
    <row r="95">
      <c r="A95" s="11" t="inlineStr">
        <is>
          <t>FT9</t>
        </is>
      </c>
      <c r="B95" s="11" t="inlineStr">
        <is>
          <t>GPTE72</t>
        </is>
      </c>
      <c r="C95" s="11" t="inlineStr">
        <is>
          <t>CAL KING</t>
        </is>
      </c>
      <c r="D95" s="11" t="inlineStr">
        <is>
          <t>Binding</t>
        </is>
      </c>
      <c r="E95" s="11" t="inlineStr">
        <is>
          <t>Bound seam fabric - 100% Polyester microfiber woven fabric in white color</t>
        </is>
      </c>
      <c r="F95" s="11" t="n">
        <v>70</v>
      </c>
      <c r="G95" s="11" t="inlineStr"/>
      <c r="H95" s="11" t="inlineStr"/>
      <c r="I95" s="11" t="inlineStr">
        <is>
          <t>White</t>
        </is>
      </c>
      <c r="J95" s="10" t="inlineStr"/>
      <c r="K95" s="10" t="inlineStr"/>
      <c r="L95" s="10" t="inlineStr"/>
      <c r="M95" s="13">
        <f>IFERROR(K95*(1+L95/100)*VLOOKUP(B95,'1. Articles (SKUs)'!E:N,10,FALSE),"")</f>
        <v/>
      </c>
      <c r="N95" s="14" t="inlineStr"/>
    </row>
    <row r="96">
      <c r="A96" s="9" t="inlineStr">
        <is>
          <t>FT9</t>
        </is>
      </c>
      <c r="B96" s="9" t="inlineStr">
        <is>
          <t>GPTE36</t>
        </is>
      </c>
      <c r="C96" s="9" t="inlineStr">
        <is>
          <t>SP CAL KING</t>
        </is>
      </c>
      <c r="D96" s="9" t="inlineStr">
        <is>
          <t>Platform</t>
        </is>
      </c>
      <c r="E96" s="9" t="inlineStr">
        <is>
          <t>110gsm - 100% Polyester terry knitted fabric with 0.02mm TPUwhite coating</t>
        </is>
      </c>
      <c r="F96" s="9" t="n">
        <v>110</v>
      </c>
      <c r="G96" s="9" t="inlineStr">
        <is>
          <t>32S Loop / 100D bottom</t>
        </is>
      </c>
      <c r="H96" s="9" t="inlineStr">
        <is>
          <t>A) 0.02mmTPU PU Coating(Chinese TPU) in White Color  B)  SILVADUR (TM) 930 Antimicrobial ‐ PRN 98‐10                                                                                      C) Wick Away Treatment on Top Platform – TK-N02</t>
        </is>
      </c>
      <c r="I96" s="9" t="inlineStr">
        <is>
          <t>White</t>
        </is>
      </c>
      <c r="J96" s="10" t="inlineStr"/>
      <c r="K96" s="10" t="inlineStr"/>
      <c r="L96" s="10" t="inlineStr"/>
      <c r="M96" s="13">
        <f>IFERROR(K96*(1+L96/100)*VLOOKUP(B96,'1. Articles (SKUs)'!E:N,10,FALSE),"")</f>
        <v/>
      </c>
      <c r="N96" s="14" t="inlineStr"/>
    </row>
    <row r="97">
      <c r="A97" s="11" t="inlineStr">
        <is>
          <t>FT9</t>
        </is>
      </c>
      <c r="B97" s="11" t="inlineStr">
        <is>
          <t>GPTE36</t>
        </is>
      </c>
      <c r="C97" s="11" t="inlineStr">
        <is>
          <t>SP CAL KING</t>
        </is>
      </c>
      <c r="D97" s="11" t="inlineStr">
        <is>
          <t>Bottom + Skirt</t>
        </is>
      </c>
      <c r="E97" s="11" t="inlineStr">
        <is>
          <t>70gsm - 100% Polyester interlock knitted fabric in white</t>
        </is>
      </c>
      <c r="F97" s="11" t="n">
        <v>70</v>
      </c>
      <c r="G97" s="11" t="inlineStr">
        <is>
          <t>33s</t>
        </is>
      </c>
      <c r="H97" s="11" t="inlineStr">
        <is>
          <t>A) 0.02mmTPU PU Coating(Chinese TPU) in White Color</t>
        </is>
      </c>
      <c r="I97" s="11" t="inlineStr">
        <is>
          <t>White</t>
        </is>
      </c>
      <c r="J97" s="10" t="inlineStr"/>
      <c r="K97" s="10" t="inlineStr"/>
      <c r="L97" s="10" t="inlineStr"/>
      <c r="M97" s="13">
        <f>IFERROR(K97*(1+L97/100)*VLOOKUP(B97,'1. Articles (SKUs)'!E:N,10,FALSE),"")</f>
        <v/>
      </c>
      <c r="N97" s="14" t="inlineStr"/>
    </row>
    <row r="98">
      <c r="A98" s="9" t="inlineStr">
        <is>
          <t>FT9</t>
        </is>
      </c>
      <c r="B98" s="9" t="inlineStr">
        <is>
          <t>GPTE36</t>
        </is>
      </c>
      <c r="C98" s="9" t="inlineStr">
        <is>
          <t>SP CAL KING</t>
        </is>
      </c>
      <c r="D98" s="9" t="inlineStr">
        <is>
          <t>Piping</t>
        </is>
      </c>
      <c r="E98" s="9" t="inlineStr">
        <is>
          <t>Piping fabric  - 100% Polyester satin fabric in silver color, Pantone Color - #14-4102TC</t>
        </is>
      </c>
      <c r="F98" s="9" t="n">
        <v>70</v>
      </c>
      <c r="G98" s="9" t="inlineStr">
        <is>
          <t>1/8" thickness</t>
        </is>
      </c>
      <c r="H98" s="9" t="inlineStr"/>
      <c r="I98" s="9" t="inlineStr">
        <is>
          <t>Silver</t>
        </is>
      </c>
      <c r="J98" s="10" t="inlineStr"/>
      <c r="K98" s="10" t="inlineStr"/>
      <c r="L98" s="10" t="inlineStr"/>
      <c r="M98" s="13">
        <f>IFERROR(K98*(1+L98/100)*VLOOKUP(B98,'1. Articles (SKUs)'!E:N,10,FALSE),"")</f>
        <v/>
      </c>
      <c r="N98" s="14" t="inlineStr"/>
    </row>
    <row r="99">
      <c r="A99" s="11" t="inlineStr">
        <is>
          <t>FT9</t>
        </is>
      </c>
      <c r="B99" s="11" t="inlineStr">
        <is>
          <t>GPTE36</t>
        </is>
      </c>
      <c r="C99" s="11" t="inlineStr">
        <is>
          <t>SP CAL KING</t>
        </is>
      </c>
      <c r="D99" s="11" t="inlineStr">
        <is>
          <t>Binding</t>
        </is>
      </c>
      <c r="E99" s="11" t="inlineStr">
        <is>
          <t>Bound seam fabric - 100% Polyester microfiber woven fabric in white color</t>
        </is>
      </c>
      <c r="F99" s="11" t="n">
        <v>70</v>
      </c>
      <c r="G99" s="11" t="inlineStr"/>
      <c r="H99" s="11" t="inlineStr"/>
      <c r="I99" s="11" t="inlineStr">
        <is>
          <t>White</t>
        </is>
      </c>
      <c r="J99" s="10" t="inlineStr"/>
      <c r="K99" s="10" t="inlineStr"/>
      <c r="L99" s="10" t="inlineStr"/>
      <c r="M99" s="13">
        <f>IFERROR(K99*(1+L99/100)*VLOOKUP(B99,'1. Articles (SKUs)'!E:N,10,FALSE),"")</f>
        <v/>
      </c>
      <c r="N99" s="14" t="inlineStr"/>
    </row>
    <row r="100">
      <c r="A100" s="9" t="inlineStr">
        <is>
          <t>FT9</t>
        </is>
      </c>
      <c r="B100" s="9" t="inlineStr">
        <is>
          <t>GPTE52</t>
        </is>
      </c>
      <c r="C100" s="9" t="inlineStr">
        <is>
          <t>SPLIT HEAD QUEEN</t>
        </is>
      </c>
      <c r="D100" s="9" t="inlineStr">
        <is>
          <t>Platform</t>
        </is>
      </c>
      <c r="E100" s="9" t="inlineStr">
        <is>
          <t>110gsm - 100% Polyester terry knitted fabric with 0.02mm TPUwhite coating</t>
        </is>
      </c>
      <c r="F100" s="9" t="n">
        <v>110</v>
      </c>
      <c r="G100" s="9" t="inlineStr">
        <is>
          <t>32S Loop / 100D bottom</t>
        </is>
      </c>
      <c r="H100" s="9" t="inlineStr">
        <is>
          <t>A) 0.02mmTPU PU Coating(Chinese TPU) in White Color  B)  SILVADUR (TM) 930 Antimicrobial ‐ PRN 98‐10                                                                                      C) Wick Away Treatment on Top Platform – TK-N02</t>
        </is>
      </c>
      <c r="I100" s="9" t="inlineStr">
        <is>
          <t>White</t>
        </is>
      </c>
      <c r="J100" s="10" t="inlineStr"/>
      <c r="K100" s="10" t="inlineStr"/>
      <c r="L100" s="10" t="inlineStr"/>
      <c r="M100" s="13">
        <f>IFERROR(K100*(1+L100/100)*VLOOKUP(B100,'1. Articles (SKUs)'!E:N,10,FALSE),"")</f>
        <v/>
      </c>
      <c r="N100" s="14" t="inlineStr"/>
    </row>
    <row r="101">
      <c r="A101" s="11" t="inlineStr">
        <is>
          <t>FT9</t>
        </is>
      </c>
      <c r="B101" s="11" t="inlineStr">
        <is>
          <t>GPTE52</t>
        </is>
      </c>
      <c r="C101" s="11" t="inlineStr">
        <is>
          <t>SPLIT HEAD QUEEN</t>
        </is>
      </c>
      <c r="D101" s="11" t="inlineStr">
        <is>
          <t>Bottom + Skirt</t>
        </is>
      </c>
      <c r="E101" s="11" t="inlineStr">
        <is>
          <t>70gsm - 100% Polyester interlock knitted fabric in white</t>
        </is>
      </c>
      <c r="F101" s="11" t="n">
        <v>70</v>
      </c>
      <c r="G101" s="11" t="inlineStr">
        <is>
          <t>33s</t>
        </is>
      </c>
      <c r="H101" s="11" t="inlineStr">
        <is>
          <t>A) 0.02mmTPU PU Coating(Chinese TPU) in White Color</t>
        </is>
      </c>
      <c r="I101" s="11" t="inlineStr">
        <is>
          <t>White</t>
        </is>
      </c>
      <c r="J101" s="10" t="inlineStr"/>
      <c r="K101" s="10" t="inlineStr"/>
      <c r="L101" s="10" t="inlineStr"/>
      <c r="M101" s="13">
        <f>IFERROR(K101*(1+L101/100)*VLOOKUP(B101,'1. Articles (SKUs)'!E:N,10,FALSE),"")</f>
        <v/>
      </c>
      <c r="N101" s="14" t="inlineStr"/>
    </row>
    <row r="102">
      <c r="A102" s="9" t="inlineStr">
        <is>
          <t>FT9</t>
        </is>
      </c>
      <c r="B102" s="9" t="inlineStr">
        <is>
          <t>GPTE52</t>
        </is>
      </c>
      <c r="C102" s="9" t="inlineStr">
        <is>
          <t>SPLIT HEAD QUEEN</t>
        </is>
      </c>
      <c r="D102" s="9" t="inlineStr">
        <is>
          <t>Piping</t>
        </is>
      </c>
      <c r="E102" s="9" t="inlineStr">
        <is>
          <t>Piping fabric  - 100% Polyester satin fabric in silver color, Pantone Color - #14-4102TC</t>
        </is>
      </c>
      <c r="F102" s="9" t="n">
        <v>70</v>
      </c>
      <c r="G102" s="9" t="inlineStr">
        <is>
          <t>1/8" thickness</t>
        </is>
      </c>
      <c r="H102" s="9" t="inlineStr"/>
      <c r="I102" s="9" t="inlineStr">
        <is>
          <t>Silver</t>
        </is>
      </c>
      <c r="J102" s="10" t="inlineStr"/>
      <c r="K102" s="10" t="inlineStr"/>
      <c r="L102" s="10" t="inlineStr"/>
      <c r="M102" s="13">
        <f>IFERROR(K102*(1+L102/100)*VLOOKUP(B102,'1. Articles (SKUs)'!E:N,10,FALSE),"")</f>
        <v/>
      </c>
      <c r="N102" s="14" t="inlineStr"/>
    </row>
    <row r="103">
      <c r="A103" s="11" t="inlineStr">
        <is>
          <t>FT9</t>
        </is>
      </c>
      <c r="B103" s="11" t="inlineStr">
        <is>
          <t>GPTE52</t>
        </is>
      </c>
      <c r="C103" s="11" t="inlineStr">
        <is>
          <t>SPLIT HEAD QUEEN</t>
        </is>
      </c>
      <c r="D103" s="11" t="inlineStr">
        <is>
          <t>Binding</t>
        </is>
      </c>
      <c r="E103" s="11" t="inlineStr">
        <is>
          <t>Bound seam fabric - 100% Polyester microfiber woven fabric in white color</t>
        </is>
      </c>
      <c r="F103" s="11" t="n">
        <v>70</v>
      </c>
      <c r="G103" s="11" t="inlineStr"/>
      <c r="H103" s="11" t="inlineStr"/>
      <c r="I103" s="11" t="inlineStr">
        <is>
          <t>White</t>
        </is>
      </c>
      <c r="J103" s="10" t="inlineStr"/>
      <c r="K103" s="10" t="inlineStr"/>
      <c r="L103" s="10" t="inlineStr"/>
      <c r="M103" s="13">
        <f>IFERROR(K103*(1+L103/100)*VLOOKUP(B103,'1. Articles (SKUs)'!E:N,10,FALSE),"")</f>
        <v/>
      </c>
      <c r="N103" s="14" t="inlineStr"/>
    </row>
    <row r="104">
      <c r="A104" s="9" t="inlineStr">
        <is>
          <t>FT9</t>
        </is>
      </c>
      <c r="B104" s="9" t="inlineStr">
        <is>
          <t>GPTE79</t>
        </is>
      </c>
      <c r="C104" s="9" t="inlineStr">
        <is>
          <t>SPLIT HEAD KING</t>
        </is>
      </c>
      <c r="D104" s="9" t="inlineStr">
        <is>
          <t>Platform</t>
        </is>
      </c>
      <c r="E104" s="9" t="inlineStr">
        <is>
          <t>110gsm - 100% Polyester terry knitted fabric with 0.02mm TPUwhite coating</t>
        </is>
      </c>
      <c r="F104" s="9" t="n">
        <v>110</v>
      </c>
      <c r="G104" s="9" t="inlineStr">
        <is>
          <t>32S Loop / 100D bottom</t>
        </is>
      </c>
      <c r="H104" s="9" t="inlineStr">
        <is>
          <t>A) 0.02mmTPU PU Coating(Chinese TPU) in White Color  B)  SILVADUR (TM) 930 Antimicrobial ‐ PRN 98‐10                                                                                      C) Wick Away Treatment on Top Platform – TK-N02</t>
        </is>
      </c>
      <c r="I104" s="9" t="inlineStr">
        <is>
          <t>White</t>
        </is>
      </c>
      <c r="J104" s="10" t="inlineStr"/>
      <c r="K104" s="10" t="inlineStr"/>
      <c r="L104" s="10" t="inlineStr"/>
      <c r="M104" s="13">
        <f>IFERROR(K104*(1+L104/100)*VLOOKUP(B104,'1. Articles (SKUs)'!E:N,10,FALSE),"")</f>
        <v/>
      </c>
      <c r="N104" s="14" t="inlineStr"/>
    </row>
    <row r="105">
      <c r="A105" s="11" t="inlineStr">
        <is>
          <t>FT9</t>
        </is>
      </c>
      <c r="B105" s="11" t="inlineStr">
        <is>
          <t>GPTE79</t>
        </is>
      </c>
      <c r="C105" s="11" t="inlineStr">
        <is>
          <t>SPLIT HEAD KING</t>
        </is>
      </c>
      <c r="D105" s="11" t="inlineStr">
        <is>
          <t>Bottom + Skirt</t>
        </is>
      </c>
      <c r="E105" s="11" t="inlineStr">
        <is>
          <t>70gsm - 100% Polyester interlock knitted fabric in white</t>
        </is>
      </c>
      <c r="F105" s="11" t="n">
        <v>70</v>
      </c>
      <c r="G105" s="11" t="inlineStr">
        <is>
          <t>33s</t>
        </is>
      </c>
      <c r="H105" s="11" t="inlineStr">
        <is>
          <t>A) 0.02mmTPU PU Coating(Chinese TPU) in White Color</t>
        </is>
      </c>
      <c r="I105" s="11" t="inlineStr">
        <is>
          <t>White</t>
        </is>
      </c>
      <c r="J105" s="10" t="inlineStr"/>
      <c r="K105" s="10" t="inlineStr"/>
      <c r="L105" s="10" t="inlineStr"/>
      <c r="M105" s="13">
        <f>IFERROR(K105*(1+L105/100)*VLOOKUP(B105,'1. Articles (SKUs)'!E:N,10,FALSE),"")</f>
        <v/>
      </c>
      <c r="N105" s="14" t="inlineStr"/>
    </row>
    <row r="106">
      <c r="A106" s="9" t="inlineStr">
        <is>
          <t>FT9</t>
        </is>
      </c>
      <c r="B106" s="9" t="inlineStr">
        <is>
          <t>GPTE79</t>
        </is>
      </c>
      <c r="C106" s="9" t="inlineStr">
        <is>
          <t>SPLIT HEAD KING</t>
        </is>
      </c>
      <c r="D106" s="9" t="inlineStr">
        <is>
          <t>Piping</t>
        </is>
      </c>
      <c r="E106" s="9" t="inlineStr">
        <is>
          <t>Piping fabric  - 100% Polyester satin fabric in silver color, Pantone Color - #14-4102TC</t>
        </is>
      </c>
      <c r="F106" s="9" t="n">
        <v>70</v>
      </c>
      <c r="G106" s="9" t="inlineStr">
        <is>
          <t>1/8" thickness</t>
        </is>
      </c>
      <c r="H106" s="9" t="inlineStr"/>
      <c r="I106" s="9" t="inlineStr">
        <is>
          <t>Silver</t>
        </is>
      </c>
      <c r="J106" s="10" t="inlineStr"/>
      <c r="K106" s="10" t="inlineStr"/>
      <c r="L106" s="10" t="inlineStr"/>
      <c r="M106" s="13">
        <f>IFERROR(K106*(1+L106/100)*VLOOKUP(B106,'1. Articles (SKUs)'!E:N,10,FALSE),"")</f>
        <v/>
      </c>
      <c r="N106" s="14" t="inlineStr"/>
    </row>
    <row r="107">
      <c r="A107" s="11" t="inlineStr">
        <is>
          <t>FT9</t>
        </is>
      </c>
      <c r="B107" s="11" t="inlineStr">
        <is>
          <t>GPTE79</t>
        </is>
      </c>
      <c r="C107" s="11" t="inlineStr">
        <is>
          <t>SPLIT HEAD KING</t>
        </is>
      </c>
      <c r="D107" s="11" t="inlineStr">
        <is>
          <t>Binding</t>
        </is>
      </c>
      <c r="E107" s="11" t="inlineStr">
        <is>
          <t>Bound seam fabric - 100% Polyester microfiber woven fabric in white color</t>
        </is>
      </c>
      <c r="F107" s="11" t="n">
        <v>70</v>
      </c>
      <c r="G107" s="11" t="inlineStr"/>
      <c r="H107" s="11" t="inlineStr"/>
      <c r="I107" s="11" t="inlineStr">
        <is>
          <t>White</t>
        </is>
      </c>
      <c r="J107" s="10" t="inlineStr"/>
      <c r="K107" s="10" t="inlineStr"/>
      <c r="L107" s="10" t="inlineStr"/>
      <c r="M107" s="13">
        <f>IFERROR(K107*(1+L107/100)*VLOOKUP(B107,'1. Articles (SKUs)'!E:N,10,FALSE),"")</f>
        <v/>
      </c>
      <c r="N107" s="14" t="inlineStr"/>
    </row>
    <row r="108">
      <c r="A108" s="9" t="inlineStr">
        <is>
          <t>FT9</t>
        </is>
      </c>
      <c r="B108" s="9" t="inlineStr">
        <is>
          <t>GPSE33</t>
        </is>
      </c>
      <c r="C108" s="9" t="inlineStr">
        <is>
          <t>SLEEPER - TWIN</t>
        </is>
      </c>
      <c r="D108" s="9" t="inlineStr">
        <is>
          <t>Platform</t>
        </is>
      </c>
      <c r="E108" s="9" t="inlineStr">
        <is>
          <t>110gsm - 100% Polyester terry knitted fabric with 0.02mm TPUwhite coating</t>
        </is>
      </c>
      <c r="F108" s="9" t="n">
        <v>110</v>
      </c>
      <c r="G108" s="9" t="inlineStr">
        <is>
          <t>32S Loop / 100D bottom</t>
        </is>
      </c>
      <c r="H108" s="9" t="inlineStr">
        <is>
          <t>A) 0.02mmTPU PU Coating(Chinese TPU) in White Color  B)  SILVADUR (TM) 930 Antimicrobial ‐ PRN 98‐10                                                                                      C) Wick Away Treatment on Top Platform – TK-N02</t>
        </is>
      </c>
      <c r="I108" s="9" t="inlineStr">
        <is>
          <t>White</t>
        </is>
      </c>
      <c r="J108" s="10" t="inlineStr"/>
      <c r="K108" s="10" t="inlineStr"/>
      <c r="L108" s="10" t="inlineStr"/>
      <c r="M108" s="13">
        <f>IFERROR(K108*(1+L108/100)*VLOOKUP(B108,'1. Articles (SKUs)'!E:N,10,FALSE),"")</f>
        <v/>
      </c>
      <c r="N108" s="14" t="inlineStr"/>
    </row>
    <row r="109">
      <c r="A109" s="11" t="inlineStr">
        <is>
          <t>FT9</t>
        </is>
      </c>
      <c r="B109" s="11" t="inlineStr">
        <is>
          <t>GPSE33</t>
        </is>
      </c>
      <c r="C109" s="11" t="inlineStr">
        <is>
          <t>SLEEPER - TWIN</t>
        </is>
      </c>
      <c r="D109" s="11" t="inlineStr">
        <is>
          <t>Bottom + Skirt</t>
        </is>
      </c>
      <c r="E109" s="11" t="inlineStr">
        <is>
          <t>70gsm - 100% Polyester interlock knitted fabric in white</t>
        </is>
      </c>
      <c r="F109" s="11" t="n">
        <v>70</v>
      </c>
      <c r="G109" s="11" t="inlineStr">
        <is>
          <t>33s</t>
        </is>
      </c>
      <c r="H109" s="11" t="inlineStr">
        <is>
          <t>A) 0.02mmTPU PU Coating(Chinese TPU) in White Color</t>
        </is>
      </c>
      <c r="I109" s="11" t="inlineStr">
        <is>
          <t>White</t>
        </is>
      </c>
      <c r="J109" s="10" t="inlineStr"/>
      <c r="K109" s="10" t="inlineStr"/>
      <c r="L109" s="10" t="inlineStr"/>
      <c r="M109" s="13">
        <f>IFERROR(K109*(1+L109/100)*VLOOKUP(B109,'1. Articles (SKUs)'!E:N,10,FALSE),"")</f>
        <v/>
      </c>
      <c r="N109" s="14" t="inlineStr"/>
    </row>
    <row r="110">
      <c r="A110" s="9" t="inlineStr">
        <is>
          <t>FT9</t>
        </is>
      </c>
      <c r="B110" s="9" t="inlineStr">
        <is>
          <t>GPSE33</t>
        </is>
      </c>
      <c r="C110" s="9" t="inlineStr">
        <is>
          <t>SLEEPER - TWIN</t>
        </is>
      </c>
      <c r="D110" s="9" t="inlineStr">
        <is>
          <t>Piping</t>
        </is>
      </c>
      <c r="E110" s="9" t="inlineStr">
        <is>
          <t>Piping fabric  - 100% Polyester satin fabric in silver color, Pantone Color - #14-4102TC</t>
        </is>
      </c>
      <c r="F110" s="9" t="n">
        <v>70</v>
      </c>
      <c r="G110" s="9" t="inlineStr">
        <is>
          <t>1/8" thickness</t>
        </is>
      </c>
      <c r="H110" s="9" t="inlineStr"/>
      <c r="I110" s="9" t="inlineStr">
        <is>
          <t>Silver</t>
        </is>
      </c>
      <c r="J110" s="10" t="inlineStr"/>
      <c r="K110" s="10" t="inlineStr"/>
      <c r="L110" s="10" t="inlineStr"/>
      <c r="M110" s="13">
        <f>IFERROR(K110*(1+L110/100)*VLOOKUP(B110,'1. Articles (SKUs)'!E:N,10,FALSE),"")</f>
        <v/>
      </c>
      <c r="N110" s="14" t="inlineStr"/>
    </row>
    <row r="111">
      <c r="A111" s="11" t="inlineStr">
        <is>
          <t>FT9</t>
        </is>
      </c>
      <c r="B111" s="11" t="inlineStr">
        <is>
          <t>GPSE33</t>
        </is>
      </c>
      <c r="C111" s="11" t="inlineStr">
        <is>
          <t>SLEEPER - TWIN</t>
        </is>
      </c>
      <c r="D111" s="11" t="inlineStr">
        <is>
          <t>Binding</t>
        </is>
      </c>
      <c r="E111" s="11" t="inlineStr">
        <is>
          <t>Bound seam fabric - 100% Polyester microfiber woven fabric in white color</t>
        </is>
      </c>
      <c r="F111" s="11" t="n">
        <v>70</v>
      </c>
      <c r="G111" s="11" t="inlineStr"/>
      <c r="H111" s="11" t="inlineStr"/>
      <c r="I111" s="11" t="inlineStr">
        <is>
          <t>White</t>
        </is>
      </c>
      <c r="J111" s="10" t="inlineStr"/>
      <c r="K111" s="10" t="inlineStr"/>
      <c r="L111" s="10" t="inlineStr"/>
      <c r="M111" s="13">
        <f>IFERROR(K111*(1+L111/100)*VLOOKUP(B111,'1. Articles (SKUs)'!E:N,10,FALSE),"")</f>
        <v/>
      </c>
      <c r="N111" s="14" t="inlineStr"/>
    </row>
    <row r="112">
      <c r="A112" s="9" t="inlineStr">
        <is>
          <t>FT9</t>
        </is>
      </c>
      <c r="B112" s="9" t="inlineStr">
        <is>
          <t>GPSE46</t>
        </is>
      </c>
      <c r="C112" s="9" t="inlineStr">
        <is>
          <t>SLEEPER - FULL</t>
        </is>
      </c>
      <c r="D112" s="9" t="inlineStr">
        <is>
          <t>Platform</t>
        </is>
      </c>
      <c r="E112" s="9" t="inlineStr">
        <is>
          <t>110gsm - 100% Polyester terry knitted fabric with 0.02mm TPUwhite coating</t>
        </is>
      </c>
      <c r="F112" s="9" t="n">
        <v>110</v>
      </c>
      <c r="G112" s="9" t="inlineStr">
        <is>
          <t>32S Loop / 100D bottom</t>
        </is>
      </c>
      <c r="H112" s="9" t="inlineStr">
        <is>
          <t>A) 0.02mmTPU PU Coating(Chinese TPU) in White Color  B)  SILVADUR (TM) 930 Antimicrobial ‐ PRN 98‐10                                                                                      C) Wick Away Treatment on Top Platform – TK-N02</t>
        </is>
      </c>
      <c r="I112" s="9" t="inlineStr">
        <is>
          <t>White</t>
        </is>
      </c>
      <c r="J112" s="10" t="inlineStr"/>
      <c r="K112" s="10" t="inlineStr"/>
      <c r="L112" s="10" t="inlineStr"/>
      <c r="M112" s="13">
        <f>IFERROR(K112*(1+L112/100)*VLOOKUP(B112,'1. Articles (SKUs)'!E:N,10,FALSE),"")</f>
        <v/>
      </c>
      <c r="N112" s="14" t="inlineStr"/>
    </row>
    <row r="113">
      <c r="A113" s="11" t="inlineStr">
        <is>
          <t>FT9</t>
        </is>
      </c>
      <c r="B113" s="11" t="inlineStr">
        <is>
          <t>GPSE46</t>
        </is>
      </c>
      <c r="C113" s="11" t="inlineStr">
        <is>
          <t>SLEEPER - FULL</t>
        </is>
      </c>
      <c r="D113" s="11" t="inlineStr">
        <is>
          <t>Bottom + Skirt</t>
        </is>
      </c>
      <c r="E113" s="11" t="inlineStr">
        <is>
          <t>70gsm - 100% Polyester interlock knitted fabric in white</t>
        </is>
      </c>
      <c r="F113" s="11" t="n">
        <v>70</v>
      </c>
      <c r="G113" s="11" t="inlineStr">
        <is>
          <t>33s</t>
        </is>
      </c>
      <c r="H113" s="11" t="inlineStr">
        <is>
          <t>A) 0.02mmTPU PU Coating(Chinese TPU) in White Color</t>
        </is>
      </c>
      <c r="I113" s="11" t="inlineStr">
        <is>
          <t>White</t>
        </is>
      </c>
      <c r="J113" s="10" t="inlineStr"/>
      <c r="K113" s="10" t="inlineStr"/>
      <c r="L113" s="10" t="inlineStr"/>
      <c r="M113" s="13">
        <f>IFERROR(K113*(1+L113/100)*VLOOKUP(B113,'1. Articles (SKUs)'!E:N,10,FALSE),"")</f>
        <v/>
      </c>
      <c r="N113" s="14" t="inlineStr"/>
    </row>
    <row r="114">
      <c r="A114" s="9" t="inlineStr">
        <is>
          <t>FT9</t>
        </is>
      </c>
      <c r="B114" s="9" t="inlineStr">
        <is>
          <t>GPSE46</t>
        </is>
      </c>
      <c r="C114" s="9" t="inlineStr">
        <is>
          <t>SLEEPER - FULL</t>
        </is>
      </c>
      <c r="D114" s="9" t="inlineStr">
        <is>
          <t>Piping</t>
        </is>
      </c>
      <c r="E114" s="9" t="inlineStr">
        <is>
          <t>Piping fabric  - 100% Polyester satin fabric in silver color, Pantone Color - #14-4102TC</t>
        </is>
      </c>
      <c r="F114" s="9" t="n">
        <v>70</v>
      </c>
      <c r="G114" s="9" t="inlineStr">
        <is>
          <t>1/8" thickness</t>
        </is>
      </c>
      <c r="H114" s="9" t="inlineStr"/>
      <c r="I114" s="9" t="inlineStr">
        <is>
          <t>Silver</t>
        </is>
      </c>
      <c r="J114" s="10" t="inlineStr"/>
      <c r="K114" s="10" t="inlineStr"/>
      <c r="L114" s="10" t="inlineStr"/>
      <c r="M114" s="13">
        <f>IFERROR(K114*(1+L114/100)*VLOOKUP(B114,'1. Articles (SKUs)'!E:N,10,FALSE),"")</f>
        <v/>
      </c>
      <c r="N114" s="14" t="inlineStr"/>
    </row>
    <row r="115">
      <c r="A115" s="11" t="inlineStr">
        <is>
          <t>FT9</t>
        </is>
      </c>
      <c r="B115" s="11" t="inlineStr">
        <is>
          <t>GPSE46</t>
        </is>
      </c>
      <c r="C115" s="11" t="inlineStr">
        <is>
          <t>SLEEPER - FULL</t>
        </is>
      </c>
      <c r="D115" s="11" t="inlineStr">
        <is>
          <t>Binding</t>
        </is>
      </c>
      <c r="E115" s="11" t="inlineStr">
        <is>
          <t>Bound seam fabric - 100% Polyester microfiber woven fabric in white color</t>
        </is>
      </c>
      <c r="F115" s="11" t="n">
        <v>70</v>
      </c>
      <c r="G115" s="11" t="inlineStr"/>
      <c r="H115" s="11" t="inlineStr"/>
      <c r="I115" s="11" t="inlineStr">
        <is>
          <t>White</t>
        </is>
      </c>
      <c r="J115" s="10" t="inlineStr"/>
      <c r="K115" s="10" t="inlineStr"/>
      <c r="L115" s="10" t="inlineStr"/>
      <c r="M115" s="13">
        <f>IFERROR(K115*(1+L115/100)*VLOOKUP(B115,'1. Articles (SKUs)'!E:N,10,FALSE),"")</f>
        <v/>
      </c>
      <c r="N115" s="14" t="inlineStr"/>
    </row>
    <row r="116">
      <c r="A116" s="9" t="inlineStr">
        <is>
          <t>FT9</t>
        </is>
      </c>
      <c r="B116" s="9" t="inlineStr">
        <is>
          <t>GPSE50</t>
        </is>
      </c>
      <c r="C116" s="9" t="inlineStr">
        <is>
          <t>SLEEPER - QUEEN</t>
        </is>
      </c>
      <c r="D116" s="9" t="inlineStr">
        <is>
          <t>Platform</t>
        </is>
      </c>
      <c r="E116" s="9" t="inlineStr">
        <is>
          <t>110gsm - 100% Polyester terry knitted fabric with 0.02mm TPUwhite coating</t>
        </is>
      </c>
      <c r="F116" s="9" t="n">
        <v>110</v>
      </c>
      <c r="G116" s="9" t="inlineStr">
        <is>
          <t>32S Loop / 100D bottom</t>
        </is>
      </c>
      <c r="H116" s="9" t="inlineStr">
        <is>
          <t>A) 0.02mmTPU PU Coating(Chinese TPU) in White Color  B)  SILVADUR (TM) 930 Antimicrobial ‐ PRN 98‐10                                                                                      C) Wick Away Treatment on Top Platform – TK-N02</t>
        </is>
      </c>
      <c r="I116" s="9" t="inlineStr">
        <is>
          <t>White</t>
        </is>
      </c>
      <c r="J116" s="10" t="inlineStr"/>
      <c r="K116" s="10" t="inlineStr"/>
      <c r="L116" s="10" t="inlineStr"/>
      <c r="M116" s="13">
        <f>IFERROR(K116*(1+L116/100)*VLOOKUP(B116,'1. Articles (SKUs)'!E:N,10,FALSE),"")</f>
        <v/>
      </c>
      <c r="N116" s="14" t="inlineStr"/>
    </row>
    <row r="117">
      <c r="A117" s="11" t="inlineStr">
        <is>
          <t>FT9</t>
        </is>
      </c>
      <c r="B117" s="11" t="inlineStr">
        <is>
          <t>GPSE50</t>
        </is>
      </c>
      <c r="C117" s="11" t="inlineStr">
        <is>
          <t>SLEEPER - QUEEN</t>
        </is>
      </c>
      <c r="D117" s="11" t="inlineStr">
        <is>
          <t>Bottom + Skirt</t>
        </is>
      </c>
      <c r="E117" s="11" t="inlineStr">
        <is>
          <t>70gsm - 100% Polyester interlock knitted fabric in white</t>
        </is>
      </c>
      <c r="F117" s="11" t="n">
        <v>70</v>
      </c>
      <c r="G117" s="11" t="inlineStr">
        <is>
          <t>33s</t>
        </is>
      </c>
      <c r="H117" s="11" t="inlineStr">
        <is>
          <t>A) 0.02mmTPU PU Coating(Chinese TPU) in White Color</t>
        </is>
      </c>
      <c r="I117" s="11" t="inlineStr">
        <is>
          <t>White</t>
        </is>
      </c>
      <c r="J117" s="10" t="inlineStr"/>
      <c r="K117" s="10" t="inlineStr"/>
      <c r="L117" s="10" t="inlineStr"/>
      <c r="M117" s="13">
        <f>IFERROR(K117*(1+L117/100)*VLOOKUP(B117,'1. Articles (SKUs)'!E:N,10,FALSE),"")</f>
        <v/>
      </c>
      <c r="N117" s="14" t="inlineStr"/>
    </row>
    <row r="118">
      <c r="A118" s="9" t="inlineStr">
        <is>
          <t>FT9</t>
        </is>
      </c>
      <c r="B118" s="9" t="inlineStr">
        <is>
          <t>GPSE50</t>
        </is>
      </c>
      <c r="C118" s="9" t="inlineStr">
        <is>
          <t>SLEEPER - QUEEN</t>
        </is>
      </c>
      <c r="D118" s="9" t="inlineStr">
        <is>
          <t>Piping</t>
        </is>
      </c>
      <c r="E118" s="9" t="inlineStr">
        <is>
          <t>Piping fabric  - 100% Polyester satin fabric in silver color, Pantone Color - #14-4102TC</t>
        </is>
      </c>
      <c r="F118" s="9" t="n">
        <v>70</v>
      </c>
      <c r="G118" s="9" t="inlineStr">
        <is>
          <t>1/8" thickness</t>
        </is>
      </c>
      <c r="H118" s="9" t="inlineStr"/>
      <c r="I118" s="9" t="inlineStr">
        <is>
          <t>Silver</t>
        </is>
      </c>
      <c r="J118" s="10" t="inlineStr"/>
      <c r="K118" s="10" t="inlineStr"/>
      <c r="L118" s="10" t="inlineStr"/>
      <c r="M118" s="13">
        <f>IFERROR(K118*(1+L118/100)*VLOOKUP(B118,'1. Articles (SKUs)'!E:N,10,FALSE),"")</f>
        <v/>
      </c>
      <c r="N118" s="14" t="inlineStr"/>
    </row>
    <row r="119">
      <c r="A119" s="11" t="inlineStr">
        <is>
          <t>FT9</t>
        </is>
      </c>
      <c r="B119" s="11" t="inlineStr">
        <is>
          <t>GPSE50</t>
        </is>
      </c>
      <c r="C119" s="11" t="inlineStr">
        <is>
          <t>SLEEPER - QUEEN</t>
        </is>
      </c>
      <c r="D119" s="11" t="inlineStr">
        <is>
          <t>Binding</t>
        </is>
      </c>
      <c r="E119" s="11" t="inlineStr">
        <is>
          <t>Bound seam fabric - 100% Polyester microfiber woven fabric in white color</t>
        </is>
      </c>
      <c r="F119" s="11" t="n">
        <v>70</v>
      </c>
      <c r="G119" s="11" t="inlineStr"/>
      <c r="H119" s="11" t="inlineStr"/>
      <c r="I119" s="11" t="inlineStr">
        <is>
          <t>White</t>
        </is>
      </c>
      <c r="J119" s="10" t="inlineStr"/>
      <c r="K119" s="10" t="inlineStr"/>
      <c r="L119" s="10" t="inlineStr"/>
      <c r="M119" s="13">
        <f>IFERROR(K119*(1+L119/100)*VLOOKUP(B119,'1. Articles (SKUs)'!E:N,10,FALSE),"")</f>
        <v/>
      </c>
      <c r="N119" s="14" t="inlineStr"/>
    </row>
  </sheetData>
  <pageMargins left="0.75" right="0.75" top="1" bottom="1" header="0.5" footer="0.5"/>
</worksheet>
</file>

<file path=xl/worksheets/sheet4.xml><?xml version="1.0" encoding="utf-8"?>
<worksheet xmlns="http://schemas.openxmlformats.org/spreadsheetml/2006/main">
  <sheetPr>
    <tabColor rgb="0010B981"/>
    <outlinePr summaryBelow="1" summaryRight="1"/>
    <pageSetUpPr/>
  </sheetPr>
  <dimension ref="A1:L2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12" customWidth="1" min="3" max="3"/>
    <col width="12" customWidth="1" min="4" max="4"/>
    <col width="24" customWidth="1" min="5" max="5"/>
    <col width="38" customWidth="1" min="6" max="6"/>
    <col width="12" customWidth="1" min="7" max="7"/>
    <col width="30" customWidth="1" min="8" max="8"/>
    <col width="16" customWidth="1" min="9" max="9"/>
    <col width="14" customWidth="1" min="10" max="10"/>
    <col width="14" customWidth="1" min="11" max="11"/>
    <col width="12" customWidth="1" min="12" max="12"/>
  </cols>
  <sheetData>
    <row r="1" ht="34" customHeight="1">
      <c r="A1" s="7" t="inlineStr">
        <is>
          <t>tech_pack_code</t>
        </is>
      </c>
      <c r="B1" s="7" t="inlineStr">
        <is>
          <t>item_code</t>
        </is>
      </c>
      <c r="C1" s="7" t="inlineStr">
        <is>
          <t>size</t>
        </is>
      </c>
      <c r="D1" s="7" t="inlineStr">
        <is>
          <t>category</t>
        </is>
      </c>
      <c r="E1" s="7" t="inlineStr">
        <is>
          <t>item_name</t>
        </is>
      </c>
      <c r="F1" s="7" t="inlineStr">
        <is>
          <t>material</t>
        </is>
      </c>
      <c r="G1" s="7" t="inlineStr">
        <is>
          <t>size_spec</t>
        </is>
      </c>
      <c r="H1" s="7" t="inlineStr">
        <is>
          <t>placement</t>
        </is>
      </c>
      <c r="I1" s="8" t="inlineStr">
        <is>
          <t>consumption_per_unit</t>
        </is>
      </c>
      <c r="J1" s="12" t="inlineStr">
        <is>
          <t>wastage_percent</t>
        </is>
      </c>
      <c r="K1" s="7" t="inlineStr">
        <is>
          <t>total_required</t>
        </is>
      </c>
      <c r="L1" s="12" t="inlineStr">
        <is>
          <t>supplier</t>
        </is>
      </c>
    </row>
    <row r="2">
      <c r="A2" s="9" t="inlineStr">
        <is>
          <t>FT2</t>
        </is>
      </c>
      <c r="B2" s="9" t="inlineStr">
        <is>
          <t>GPFRIOMP33</t>
        </is>
      </c>
      <c r="C2" s="9" t="inlineStr">
        <is>
          <t>TWIN</t>
        </is>
      </c>
      <c r="D2" s="9" t="inlineStr">
        <is>
          <t>Label</t>
        </is>
      </c>
      <c r="E2" s="9" t="inlineStr">
        <is>
          <t>Non woven label with coating</t>
        </is>
      </c>
      <c r="F2" s="9" t="inlineStr">
        <is>
          <t>3M non woven material with white ground / black color font  (INK CANNOT DISCOLORATION AND STAIN ON PRODUCT)</t>
        </is>
      </c>
      <c r="G2" s="9" t="inlineStr">
        <is>
          <t>9.0cmX13.0cm</t>
        </is>
      </c>
      <c r="H2" s="9" t="inlineStr">
        <is>
          <t>Position of law tag label – Sewing at the middle of short side</t>
        </is>
      </c>
      <c r="I2" s="10" t="n">
        <v>1</v>
      </c>
      <c r="J2" s="14" t="n">
        <v>2</v>
      </c>
      <c r="K2" s="13">
        <f>IFERROR(I2*(1+IFERROR(J2,0)/100)*VLOOKUP(B2,'1. Articles (SKUs)'!E:N,10,FALSE),"")</f>
        <v/>
      </c>
      <c r="L2" s="14" t="inlineStr"/>
    </row>
    <row r="3">
      <c r="A3" s="11" t="inlineStr">
        <is>
          <t>FT2</t>
        </is>
      </c>
      <c r="B3" s="11" t="inlineStr">
        <is>
          <t>GPFRIOMP33</t>
        </is>
      </c>
      <c r="C3" s="11" t="inlineStr">
        <is>
          <t>TWIN</t>
        </is>
      </c>
      <c r="D3" s="11" t="inlineStr">
        <is>
          <t>Label</t>
        </is>
      </c>
      <c r="E3" s="11" t="inlineStr">
        <is>
          <t>Non woven label with coating</t>
        </is>
      </c>
      <c r="F3" s="11" t="inlineStr">
        <is>
          <t>3M non woven material with white ground / black color font  (INK CANNOT DISCOLORATION AND STAIN ON PRODUCT)</t>
        </is>
      </c>
      <c r="G3" s="11" t="inlineStr">
        <is>
          <t>4.0cmX3.0cm</t>
        </is>
      </c>
      <c r="H3" s="11" t="inlineStr">
        <is>
          <t>Position of law tag label for MP &amp; PP – 3" apart from opening (Inside)</t>
        </is>
      </c>
      <c r="I3" s="10" t="n">
        <v>1</v>
      </c>
      <c r="J3" s="14" t="n">
        <v>2</v>
      </c>
      <c r="K3" s="13">
        <f>IFERROR(I3*(1+IFERROR(J3,0)/100)*VLOOKUP(B3,'1. Articles (SKUs)'!E:N,10,FALSE),"")</f>
        <v/>
      </c>
      <c r="L3" s="14" t="inlineStr"/>
    </row>
    <row r="4">
      <c r="A4" s="9" t="inlineStr">
        <is>
          <t>FT2</t>
        </is>
      </c>
      <c r="B4" s="9" t="inlineStr">
        <is>
          <t>GPFRIOMP33</t>
        </is>
      </c>
      <c r="C4" s="9" t="inlineStr">
        <is>
          <t>TWIN</t>
        </is>
      </c>
      <c r="D4" s="9" t="inlineStr">
        <is>
          <t>Packaging</t>
        </is>
      </c>
      <c r="E4" s="9" t="inlineStr">
        <is>
          <t>Packaging type</t>
        </is>
      </c>
      <c r="F4" s="9" t="inlineStr">
        <is>
          <t>Color paper insert with vinyl PVC Bag with white bound seam &amp; inside cardboard wrapped by product(Stiffener)</t>
        </is>
      </c>
      <c r="G4" s="9" t="inlineStr"/>
      <c r="H4" s="9" t="inlineStr"/>
      <c r="I4" s="10" t="n">
        <v>1</v>
      </c>
      <c r="J4" s="14" t="n">
        <v>2</v>
      </c>
      <c r="K4" s="13">
        <f>IFERROR(I4*(1+IFERROR(J4,0)/100)*VLOOKUP(B4,'1. Articles (SKUs)'!E:N,10,FALSE),"")</f>
        <v/>
      </c>
      <c r="L4" s="14" t="inlineStr"/>
    </row>
    <row r="5">
      <c r="A5" s="11" t="inlineStr">
        <is>
          <t>FT2</t>
        </is>
      </c>
      <c r="B5" s="11" t="inlineStr">
        <is>
          <t>GPFRIOMP33</t>
        </is>
      </c>
      <c r="C5" s="11" t="inlineStr">
        <is>
          <t>TWIN</t>
        </is>
      </c>
      <c r="D5" s="11" t="inlineStr">
        <is>
          <t>Polybag</t>
        </is>
      </c>
      <c r="E5" s="11" t="inlineStr">
        <is>
          <t>Bag material</t>
        </is>
      </c>
      <c r="F5" s="11" t="inlineStr">
        <is>
          <t>12S (Thickness)- Transparent PVC Bag with 7S(Thickness) White PVC White Binding all around seam and 3# Nylon Coil White Zipper(No Hanger Loop on top)</t>
        </is>
      </c>
      <c r="G5" s="11" t="inlineStr"/>
      <c r="H5" s="11" t="inlineStr"/>
      <c r="I5" s="10" t="n">
        <v>1</v>
      </c>
      <c r="J5" s="14" t="n">
        <v>2</v>
      </c>
      <c r="K5" s="13">
        <f>IFERROR(I5*(1+IFERROR(J5,0)/100)*VLOOKUP(B5,'1. Articles (SKUs)'!E:N,10,FALSE),"")</f>
        <v/>
      </c>
      <c r="L5" s="14" t="inlineStr"/>
    </row>
    <row r="6">
      <c r="A6" s="9" t="inlineStr">
        <is>
          <t>FT2</t>
        </is>
      </c>
      <c r="B6" s="9" t="inlineStr">
        <is>
          <t>GPFRIOMP33</t>
        </is>
      </c>
      <c r="C6" s="9" t="inlineStr">
        <is>
          <t>TWIN</t>
        </is>
      </c>
      <c r="D6" s="9" t="inlineStr">
        <is>
          <t>Polybag</t>
        </is>
      </c>
      <c r="E6" s="9" t="inlineStr">
        <is>
          <t>Bag material</t>
        </is>
      </c>
      <c r="F6" s="9" t="inlineStr">
        <is>
          <t>Size – 3.5cm H X 11.5cm W, 0.35cm (Thickness) - PVC  Transparent Polybag with PP Transparent Plastic Hanger on Top, Bag opening at the bottom with automatic adhesive tape.( All PVC Materials need to use NON DEPH Substance to make the bag)</t>
        </is>
      </c>
      <c r="G6" s="9" t="inlineStr"/>
      <c r="H6" s="9" t="inlineStr"/>
      <c r="I6" s="10" t="n">
        <v>1</v>
      </c>
      <c r="J6" s="14" t="n">
        <v>2</v>
      </c>
      <c r="K6" s="13">
        <f>IFERROR(I6*(1+IFERROR(J6,0)/100)*VLOOKUP(B6,'1. Articles (SKUs)'!E:N,10,FALSE),"")</f>
        <v/>
      </c>
      <c r="L6" s="14" t="inlineStr"/>
    </row>
    <row r="7">
      <c r="A7" s="11" t="inlineStr">
        <is>
          <t>FT2</t>
        </is>
      </c>
      <c r="B7" s="11" t="inlineStr">
        <is>
          <t>GPFRIOMP33</t>
        </is>
      </c>
      <c r="C7" s="11" t="inlineStr">
        <is>
          <t>TWIN</t>
        </is>
      </c>
      <c r="D7" s="11" t="inlineStr">
        <is>
          <t>Insert Card</t>
        </is>
      </c>
      <c r="E7" s="11" t="inlineStr">
        <is>
          <t>Color paper insert material</t>
        </is>
      </c>
      <c r="F7" s="11" t="inlineStr">
        <is>
          <t>Printed Insert quality -  INSERT (“U” Shape) - Insert Material: 250g-300g White Card Paper with Coating both side</t>
        </is>
      </c>
      <c r="G7" s="11" t="inlineStr"/>
      <c r="H7" s="11" t="inlineStr"/>
      <c r="I7" s="10" t="n">
        <v>1</v>
      </c>
      <c r="J7" s="14" t="n">
        <v>2</v>
      </c>
      <c r="K7" s="13">
        <f>IFERROR(I7*(1+IFERROR(J7,0)/100)*VLOOKUP(B7,'1. Articles (SKUs)'!E:N,10,FALSE),"")</f>
        <v/>
      </c>
      <c r="L7" s="14" t="inlineStr"/>
    </row>
    <row r="8">
      <c r="A8" s="9" t="inlineStr">
        <is>
          <t>FT2</t>
        </is>
      </c>
      <c r="B8" s="9" t="inlineStr">
        <is>
          <t>GPFRIOMP33</t>
        </is>
      </c>
      <c r="C8" s="9" t="inlineStr">
        <is>
          <t>TWIN</t>
        </is>
      </c>
      <c r="D8" s="9" t="inlineStr">
        <is>
          <t>Insert Card</t>
        </is>
      </c>
      <c r="E8" s="9" t="inlineStr">
        <is>
          <t>Color paper insert material</t>
        </is>
      </c>
      <c r="F8" s="9" t="inlineStr">
        <is>
          <t>Printed Insert quality -  INSERT (“U” Shape) - Insert Material: 250g-300g White Card Paper with Coating both side</t>
        </is>
      </c>
      <c r="G8" s="9" t="inlineStr"/>
      <c r="H8" s="9" t="inlineStr"/>
      <c r="I8" s="10" t="n">
        <v>1</v>
      </c>
      <c r="J8" s="14" t="n">
        <v>2</v>
      </c>
      <c r="K8" s="13">
        <f>IFERROR(I8*(1+IFERROR(J8,0)/100)*VLOOKUP(B8,'1. Articles (SKUs)'!E:N,10,FALSE),"")</f>
        <v/>
      </c>
      <c r="L8" s="14" t="inlineStr"/>
    </row>
    <row r="9">
      <c r="A9" s="11" t="inlineStr">
        <is>
          <t>FT2</t>
        </is>
      </c>
      <c r="B9" s="11" t="inlineStr">
        <is>
          <t>GPFRIOMP33</t>
        </is>
      </c>
      <c r="C9" s="11" t="inlineStr">
        <is>
          <t>TWIN</t>
        </is>
      </c>
      <c r="D9" s="11" t="inlineStr">
        <is>
          <t>Stiffener</t>
        </is>
      </c>
      <c r="E9" s="11" t="inlineStr">
        <is>
          <t>Cardboard material(Stiffener)</t>
        </is>
      </c>
      <c r="F9" s="11" t="inlineStr">
        <is>
          <t>Packaging inside need to put a “U”  1 ply thickness(1 layers with 1 layer corrugated ) in White Cardboard to maintain the shape before putting into the box</t>
        </is>
      </c>
      <c r="G9" s="11" t="inlineStr"/>
      <c r="H9" s="11" t="inlineStr"/>
      <c r="I9" s="10" t="n">
        <v>1</v>
      </c>
      <c r="J9" s="14" t="n">
        <v>2</v>
      </c>
      <c r="K9" s="13">
        <f>IFERROR(I9*(1+IFERROR(J9,0)/100)*VLOOKUP(B9,'1. Articles (SKUs)'!E:N,10,FALSE),"")</f>
        <v/>
      </c>
      <c r="L9" s="14" t="inlineStr"/>
    </row>
    <row r="10">
      <c r="A10" s="9" t="inlineStr">
        <is>
          <t>FT2</t>
        </is>
      </c>
      <c r="B10" s="9" t="inlineStr">
        <is>
          <t>GPFRIOMP33</t>
        </is>
      </c>
      <c r="C10" s="9" t="inlineStr">
        <is>
          <t>TWIN</t>
        </is>
      </c>
      <c r="D10" s="9" t="inlineStr">
        <is>
          <t>Stiffener</t>
        </is>
      </c>
      <c r="E10" s="9" t="inlineStr">
        <is>
          <t>Cardboard material(Stiffener)</t>
        </is>
      </c>
      <c r="F10" s="9" t="inlineStr">
        <is>
          <t>White square card</t>
        </is>
      </c>
      <c r="G10" s="9" t="inlineStr"/>
      <c r="H10" s="9" t="inlineStr"/>
      <c r="I10" s="10" t="n">
        <v>1</v>
      </c>
      <c r="J10" s="14" t="n">
        <v>2</v>
      </c>
      <c r="K10" s="13">
        <f>IFERROR(I10*(1+IFERROR(J10,0)/100)*VLOOKUP(B10,'1. Articles (SKUs)'!E:N,10,FALSE),"")</f>
        <v/>
      </c>
      <c r="L10" s="14" t="inlineStr"/>
    </row>
    <row r="11">
      <c r="A11" s="11" t="inlineStr">
        <is>
          <t>FT2</t>
        </is>
      </c>
      <c r="B11" s="11" t="inlineStr">
        <is>
          <t>GPFRIOMP38</t>
        </is>
      </c>
      <c r="C11" s="11" t="inlineStr">
        <is>
          <t>TWIN XL</t>
        </is>
      </c>
      <c r="D11" s="11" t="inlineStr">
        <is>
          <t>Label</t>
        </is>
      </c>
      <c r="E11" s="11" t="inlineStr">
        <is>
          <t>Non woven label with coating</t>
        </is>
      </c>
      <c r="F11" s="11" t="inlineStr">
        <is>
          <t>3M non woven material with white ground / black color font  (INK CANNOT DISCOLORATION AND STAIN ON PRODUCT)</t>
        </is>
      </c>
      <c r="G11" s="11" t="inlineStr">
        <is>
          <t>9.0cmX13.0cm</t>
        </is>
      </c>
      <c r="H11" s="11" t="inlineStr">
        <is>
          <t>Position of law tag label – Sewing at the middle of short side</t>
        </is>
      </c>
      <c r="I11" s="10" t="n">
        <v>1</v>
      </c>
      <c r="J11" s="14" t="n">
        <v>2</v>
      </c>
      <c r="K11" s="13">
        <f>IFERROR(I11*(1+IFERROR(J11,0)/100)*VLOOKUP(B11,'1. Articles (SKUs)'!E:N,10,FALSE),"")</f>
        <v/>
      </c>
      <c r="L11" s="14" t="inlineStr"/>
    </row>
    <row r="12">
      <c r="A12" s="9" t="inlineStr">
        <is>
          <t>FT2</t>
        </is>
      </c>
      <c r="B12" s="9" t="inlineStr">
        <is>
          <t>GPFRIOMP38</t>
        </is>
      </c>
      <c r="C12" s="9" t="inlineStr">
        <is>
          <t>TWIN XL</t>
        </is>
      </c>
      <c r="D12" s="9" t="inlineStr">
        <is>
          <t>Label</t>
        </is>
      </c>
      <c r="E12" s="9" t="inlineStr">
        <is>
          <t>Non woven label with coating</t>
        </is>
      </c>
      <c r="F12" s="9" t="inlineStr">
        <is>
          <t>3M non woven material with white ground / black color font  (INK CANNOT DISCOLORATION AND STAIN ON PRODUCT)</t>
        </is>
      </c>
      <c r="G12" s="9" t="inlineStr">
        <is>
          <t>4.0cmX3.0cm</t>
        </is>
      </c>
      <c r="H12" s="9" t="inlineStr">
        <is>
          <t>Position of law tag label for MP &amp; PP – 3" apart from opening (Inside)</t>
        </is>
      </c>
      <c r="I12" s="10" t="n">
        <v>1</v>
      </c>
      <c r="J12" s="14" t="n">
        <v>2</v>
      </c>
      <c r="K12" s="13">
        <f>IFERROR(I12*(1+IFERROR(J12,0)/100)*VLOOKUP(B12,'1. Articles (SKUs)'!E:N,10,FALSE),"")</f>
        <v/>
      </c>
      <c r="L12" s="14" t="inlineStr"/>
    </row>
    <row r="13">
      <c r="A13" s="11" t="inlineStr">
        <is>
          <t>FT2</t>
        </is>
      </c>
      <c r="B13" s="11" t="inlineStr">
        <is>
          <t>GPFRIOMP38</t>
        </is>
      </c>
      <c r="C13" s="11" t="inlineStr">
        <is>
          <t>TWIN XL</t>
        </is>
      </c>
      <c r="D13" s="11" t="inlineStr">
        <is>
          <t>Packaging</t>
        </is>
      </c>
      <c r="E13" s="11" t="inlineStr">
        <is>
          <t>Packaging type</t>
        </is>
      </c>
      <c r="F13" s="11" t="inlineStr">
        <is>
          <t>Color paper insert with vinyl PVC Bag with white bound seam &amp; inside cardboard wrapped by product(Stiffener)</t>
        </is>
      </c>
      <c r="G13" s="11" t="inlineStr"/>
      <c r="H13" s="11" t="inlineStr"/>
      <c r="I13" s="10" t="n">
        <v>1</v>
      </c>
      <c r="J13" s="14" t="n">
        <v>2</v>
      </c>
      <c r="K13" s="13">
        <f>IFERROR(I13*(1+IFERROR(J13,0)/100)*VLOOKUP(B13,'1. Articles (SKUs)'!E:N,10,FALSE),"")</f>
        <v/>
      </c>
      <c r="L13" s="14" t="inlineStr"/>
    </row>
    <row r="14">
      <c r="A14" s="9" t="inlineStr">
        <is>
          <t>FT2</t>
        </is>
      </c>
      <c r="B14" s="9" t="inlineStr">
        <is>
          <t>GPFRIOMP38</t>
        </is>
      </c>
      <c r="C14" s="9" t="inlineStr">
        <is>
          <t>TWIN XL</t>
        </is>
      </c>
      <c r="D14" s="9" t="inlineStr">
        <is>
          <t>Polybag</t>
        </is>
      </c>
      <c r="E14" s="9" t="inlineStr">
        <is>
          <t>Bag material</t>
        </is>
      </c>
      <c r="F14" s="9" t="inlineStr">
        <is>
          <t>12S (Thickness)- Transparent PVC Bag with 7S(Thickness) White PVC White Binding all around seam and 3# Nylon Coil White Zipper(No Hanger Loop on top)</t>
        </is>
      </c>
      <c r="G14" s="9" t="inlineStr"/>
      <c r="H14" s="9" t="inlineStr"/>
      <c r="I14" s="10" t="n">
        <v>1</v>
      </c>
      <c r="J14" s="14" t="n">
        <v>2</v>
      </c>
      <c r="K14" s="13">
        <f>IFERROR(I14*(1+IFERROR(J14,0)/100)*VLOOKUP(B14,'1. Articles (SKUs)'!E:N,10,FALSE),"")</f>
        <v/>
      </c>
      <c r="L14" s="14" t="inlineStr"/>
    </row>
    <row r="15">
      <c r="A15" s="11" t="inlineStr">
        <is>
          <t>FT2</t>
        </is>
      </c>
      <c r="B15" s="11" t="inlineStr">
        <is>
          <t>GPFRIOMP38</t>
        </is>
      </c>
      <c r="C15" s="11" t="inlineStr">
        <is>
          <t>TWIN XL</t>
        </is>
      </c>
      <c r="D15" s="11" t="inlineStr">
        <is>
          <t>Polybag</t>
        </is>
      </c>
      <c r="E15" s="11" t="inlineStr">
        <is>
          <t>Bag material</t>
        </is>
      </c>
      <c r="F15" s="11" t="inlineStr">
        <is>
          <t>Size – 3.5cm H X 11.5cm W, 0.35cm (Thickness) - PVC  Transparent Polybag with PP Transparent Plastic Hanger on Top, Bag opening at the bottom with automatic adhesive tape.( All PVC Materials need to use NON DEPH Substance to make the bag)</t>
        </is>
      </c>
      <c r="G15" s="11" t="inlineStr"/>
      <c r="H15" s="11" t="inlineStr"/>
      <c r="I15" s="10" t="n">
        <v>1</v>
      </c>
      <c r="J15" s="14" t="n">
        <v>2</v>
      </c>
      <c r="K15" s="13">
        <f>IFERROR(I15*(1+IFERROR(J15,0)/100)*VLOOKUP(B15,'1. Articles (SKUs)'!E:N,10,FALSE),"")</f>
        <v/>
      </c>
      <c r="L15" s="14" t="inlineStr"/>
    </row>
    <row r="16">
      <c r="A16" s="9" t="inlineStr">
        <is>
          <t>FT2</t>
        </is>
      </c>
      <c r="B16" s="9" t="inlineStr">
        <is>
          <t>GPFRIOMP38</t>
        </is>
      </c>
      <c r="C16" s="9" t="inlineStr">
        <is>
          <t>TWIN XL</t>
        </is>
      </c>
      <c r="D16" s="9" t="inlineStr">
        <is>
          <t>Insert Card</t>
        </is>
      </c>
      <c r="E16" s="9" t="inlineStr">
        <is>
          <t>Color paper insert material</t>
        </is>
      </c>
      <c r="F16" s="9" t="inlineStr">
        <is>
          <t>Printed Insert quality -  INSERT (“U” Shape) - Insert Material: 250g-300g White Card Paper with Coating both side</t>
        </is>
      </c>
      <c r="G16" s="9" t="inlineStr"/>
      <c r="H16" s="9" t="inlineStr"/>
      <c r="I16" s="10" t="n">
        <v>1</v>
      </c>
      <c r="J16" s="14" t="n">
        <v>2</v>
      </c>
      <c r="K16" s="13">
        <f>IFERROR(I16*(1+IFERROR(J16,0)/100)*VLOOKUP(B16,'1. Articles (SKUs)'!E:N,10,FALSE),"")</f>
        <v/>
      </c>
      <c r="L16" s="14" t="inlineStr"/>
    </row>
    <row r="17">
      <c r="A17" s="11" t="inlineStr">
        <is>
          <t>FT2</t>
        </is>
      </c>
      <c r="B17" s="11" t="inlineStr">
        <is>
          <t>GPFRIOMP38</t>
        </is>
      </c>
      <c r="C17" s="11" t="inlineStr">
        <is>
          <t>TWIN XL</t>
        </is>
      </c>
      <c r="D17" s="11" t="inlineStr">
        <is>
          <t>Insert Card</t>
        </is>
      </c>
      <c r="E17" s="11" t="inlineStr">
        <is>
          <t>Color paper insert material</t>
        </is>
      </c>
      <c r="F17" s="11" t="inlineStr">
        <is>
          <t>Printed Insert quality -  INSERT (“U” Shape) - Insert Material: 250g-300g White Card Paper with Coating both side</t>
        </is>
      </c>
      <c r="G17" s="11" t="inlineStr"/>
      <c r="H17" s="11" t="inlineStr"/>
      <c r="I17" s="10" t="n">
        <v>1</v>
      </c>
      <c r="J17" s="14" t="n">
        <v>2</v>
      </c>
      <c r="K17" s="13">
        <f>IFERROR(I17*(1+IFERROR(J17,0)/100)*VLOOKUP(B17,'1. Articles (SKUs)'!E:N,10,FALSE),"")</f>
        <v/>
      </c>
      <c r="L17" s="14" t="inlineStr"/>
    </row>
    <row r="18">
      <c r="A18" s="9" t="inlineStr">
        <is>
          <t>FT2</t>
        </is>
      </c>
      <c r="B18" s="9" t="inlineStr">
        <is>
          <t>GPFRIOMP38</t>
        </is>
      </c>
      <c r="C18" s="9" t="inlineStr">
        <is>
          <t>TWIN XL</t>
        </is>
      </c>
      <c r="D18" s="9" t="inlineStr">
        <is>
          <t>Stiffener</t>
        </is>
      </c>
      <c r="E18" s="9" t="inlineStr">
        <is>
          <t>Cardboard material(Stiffener)</t>
        </is>
      </c>
      <c r="F18" s="9" t="inlineStr">
        <is>
          <t>Packaging inside need to put a “U”  1 ply thickness(1 layers with 1 layer corrugated ) in White Cardboard to maintain the shape before putting into the box</t>
        </is>
      </c>
      <c r="G18" s="9" t="inlineStr"/>
      <c r="H18" s="9" t="inlineStr"/>
      <c r="I18" s="10" t="n">
        <v>1</v>
      </c>
      <c r="J18" s="14" t="n">
        <v>2</v>
      </c>
      <c r="K18" s="13">
        <f>IFERROR(I18*(1+IFERROR(J18,0)/100)*VLOOKUP(B18,'1. Articles (SKUs)'!E:N,10,FALSE),"")</f>
        <v/>
      </c>
      <c r="L18" s="14" t="inlineStr"/>
    </row>
    <row r="19">
      <c r="A19" s="11" t="inlineStr">
        <is>
          <t>FT2</t>
        </is>
      </c>
      <c r="B19" s="11" t="inlineStr">
        <is>
          <t>GPFRIOMP38</t>
        </is>
      </c>
      <c r="C19" s="11" t="inlineStr">
        <is>
          <t>TWIN XL</t>
        </is>
      </c>
      <c r="D19" s="11" t="inlineStr">
        <is>
          <t>Stiffener</t>
        </is>
      </c>
      <c r="E19" s="11" t="inlineStr">
        <is>
          <t>Cardboard material(Stiffener)</t>
        </is>
      </c>
      <c r="F19" s="11" t="inlineStr">
        <is>
          <t>White square card</t>
        </is>
      </c>
      <c r="G19" s="11" t="inlineStr"/>
      <c r="H19" s="11" t="inlineStr"/>
      <c r="I19" s="10" t="n">
        <v>1</v>
      </c>
      <c r="J19" s="14" t="n">
        <v>2</v>
      </c>
      <c r="K19" s="13">
        <f>IFERROR(I19*(1+IFERROR(J19,0)/100)*VLOOKUP(B19,'1. Articles (SKUs)'!E:N,10,FALSE),"")</f>
        <v/>
      </c>
      <c r="L19" s="14" t="inlineStr"/>
    </row>
    <row r="20">
      <c r="A20" s="9" t="inlineStr">
        <is>
          <t>FT2</t>
        </is>
      </c>
      <c r="B20" s="9" t="inlineStr">
        <is>
          <t>GPFRIOMP46</t>
        </is>
      </c>
      <c r="C20" s="9" t="inlineStr">
        <is>
          <t>FULL</t>
        </is>
      </c>
      <c r="D20" s="9" t="inlineStr">
        <is>
          <t>Label</t>
        </is>
      </c>
      <c r="E20" s="9" t="inlineStr">
        <is>
          <t>Non woven label with coating</t>
        </is>
      </c>
      <c r="F20" s="9" t="inlineStr">
        <is>
          <t>3M non woven material with white ground / black color font  (INK CANNOT DISCOLORATION AND STAIN ON PRODUCT)</t>
        </is>
      </c>
      <c r="G20" s="9" t="inlineStr">
        <is>
          <t>9.0cmX13.0cm</t>
        </is>
      </c>
      <c r="H20" s="9" t="inlineStr">
        <is>
          <t>Position of law tag label – Sewing at the middle of short side</t>
        </is>
      </c>
      <c r="I20" s="10" t="n">
        <v>1</v>
      </c>
      <c r="J20" s="14" t="n">
        <v>2</v>
      </c>
      <c r="K20" s="13">
        <f>IFERROR(I20*(1+IFERROR(J20,0)/100)*VLOOKUP(B20,'1. Articles (SKUs)'!E:N,10,FALSE),"")</f>
        <v/>
      </c>
      <c r="L20" s="14" t="inlineStr"/>
    </row>
    <row r="21">
      <c r="A21" s="11" t="inlineStr">
        <is>
          <t>FT2</t>
        </is>
      </c>
      <c r="B21" s="11" t="inlineStr">
        <is>
          <t>GPFRIOMP46</t>
        </is>
      </c>
      <c r="C21" s="11" t="inlineStr">
        <is>
          <t>FULL</t>
        </is>
      </c>
      <c r="D21" s="11" t="inlineStr">
        <is>
          <t>Label</t>
        </is>
      </c>
      <c r="E21" s="11" t="inlineStr">
        <is>
          <t>Non woven label with coating</t>
        </is>
      </c>
      <c r="F21" s="11" t="inlineStr">
        <is>
          <t>3M non woven material with white ground / black color font  (INK CANNOT DISCOLORATION AND STAIN ON PRODUCT)</t>
        </is>
      </c>
      <c r="G21" s="11" t="inlineStr">
        <is>
          <t>4.0cmX3.0cm</t>
        </is>
      </c>
      <c r="H21" s="11" t="inlineStr">
        <is>
          <t>Position of law tag label for MP &amp; PP – 3" apart from opening (Inside)</t>
        </is>
      </c>
      <c r="I21" s="10" t="n">
        <v>1</v>
      </c>
      <c r="J21" s="14" t="n">
        <v>2</v>
      </c>
      <c r="K21" s="13">
        <f>IFERROR(I21*(1+IFERROR(J21,0)/100)*VLOOKUP(B21,'1. Articles (SKUs)'!E:N,10,FALSE),"")</f>
        <v/>
      </c>
      <c r="L21" s="14" t="inlineStr"/>
    </row>
    <row r="22">
      <c r="A22" s="9" t="inlineStr">
        <is>
          <t>FT2</t>
        </is>
      </c>
      <c r="B22" s="9" t="inlineStr">
        <is>
          <t>GPFRIOMP46</t>
        </is>
      </c>
      <c r="C22" s="9" t="inlineStr">
        <is>
          <t>FULL</t>
        </is>
      </c>
      <c r="D22" s="9" t="inlineStr">
        <is>
          <t>Packaging</t>
        </is>
      </c>
      <c r="E22" s="9" t="inlineStr">
        <is>
          <t>Packaging type</t>
        </is>
      </c>
      <c r="F22" s="9" t="inlineStr">
        <is>
          <t>Color paper insert with vinyl PVC Bag with white bound seam &amp; inside cardboard wrapped by product(Stiffener)</t>
        </is>
      </c>
      <c r="G22" s="9" t="inlineStr"/>
      <c r="H22" s="9" t="inlineStr"/>
      <c r="I22" s="10" t="n">
        <v>1</v>
      </c>
      <c r="J22" s="14" t="n">
        <v>2</v>
      </c>
      <c r="K22" s="13">
        <f>IFERROR(I22*(1+IFERROR(J22,0)/100)*VLOOKUP(B22,'1. Articles (SKUs)'!E:N,10,FALSE),"")</f>
        <v/>
      </c>
      <c r="L22" s="14" t="inlineStr"/>
    </row>
    <row r="23">
      <c r="A23" s="11" t="inlineStr">
        <is>
          <t>FT2</t>
        </is>
      </c>
      <c r="B23" s="11" t="inlineStr">
        <is>
          <t>GPFRIOMP46</t>
        </is>
      </c>
      <c r="C23" s="11" t="inlineStr">
        <is>
          <t>FULL</t>
        </is>
      </c>
      <c r="D23" s="11" t="inlineStr">
        <is>
          <t>Polybag</t>
        </is>
      </c>
      <c r="E23" s="11" t="inlineStr">
        <is>
          <t>Bag material</t>
        </is>
      </c>
      <c r="F23" s="11" t="inlineStr">
        <is>
          <t>12S (Thickness)- Transparent PVC Bag with 7S(Thickness) White PVC White Binding all around seam and 3# Nylon Coil White Zipper(No Hanger Loop on top)</t>
        </is>
      </c>
      <c r="G23" s="11" t="inlineStr"/>
      <c r="H23" s="11" t="inlineStr"/>
      <c r="I23" s="10" t="n">
        <v>1</v>
      </c>
      <c r="J23" s="14" t="n">
        <v>2</v>
      </c>
      <c r="K23" s="13">
        <f>IFERROR(I23*(1+IFERROR(J23,0)/100)*VLOOKUP(B23,'1. Articles (SKUs)'!E:N,10,FALSE),"")</f>
        <v/>
      </c>
      <c r="L23" s="14" t="inlineStr"/>
    </row>
    <row r="24">
      <c r="A24" s="9" t="inlineStr">
        <is>
          <t>FT2</t>
        </is>
      </c>
      <c r="B24" s="9" t="inlineStr">
        <is>
          <t>GPFRIOMP46</t>
        </is>
      </c>
      <c r="C24" s="9" t="inlineStr">
        <is>
          <t>FULL</t>
        </is>
      </c>
      <c r="D24" s="9" t="inlineStr">
        <is>
          <t>Polybag</t>
        </is>
      </c>
      <c r="E24" s="9" t="inlineStr">
        <is>
          <t>Bag material</t>
        </is>
      </c>
      <c r="F24" s="9" t="inlineStr">
        <is>
          <t>Size – 3.5cm H X 11.5cm W, 0.35cm (Thickness) - PVC  Transparent Polybag with PP Transparent Plastic Hanger on Top, Bag opening at the bottom with automatic adhesive tape.( All PVC Materials need to use NON DEPH Substance to make the bag)</t>
        </is>
      </c>
      <c r="G24" s="9" t="inlineStr"/>
      <c r="H24" s="9" t="inlineStr"/>
      <c r="I24" s="10" t="n">
        <v>1</v>
      </c>
      <c r="J24" s="14" t="n">
        <v>2</v>
      </c>
      <c r="K24" s="13">
        <f>IFERROR(I24*(1+IFERROR(J24,0)/100)*VLOOKUP(B24,'1. Articles (SKUs)'!E:N,10,FALSE),"")</f>
        <v/>
      </c>
      <c r="L24" s="14" t="inlineStr"/>
    </row>
    <row r="25">
      <c r="A25" s="11" t="inlineStr">
        <is>
          <t>FT2</t>
        </is>
      </c>
      <c r="B25" s="11" t="inlineStr">
        <is>
          <t>GPFRIOMP46</t>
        </is>
      </c>
      <c r="C25" s="11" t="inlineStr">
        <is>
          <t>FULL</t>
        </is>
      </c>
      <c r="D25" s="11" t="inlineStr">
        <is>
          <t>Insert Card</t>
        </is>
      </c>
      <c r="E25" s="11" t="inlineStr">
        <is>
          <t>Color paper insert material</t>
        </is>
      </c>
      <c r="F25" s="11" t="inlineStr">
        <is>
          <t>Printed Insert quality -  INSERT (“U” Shape) - Insert Material: 250g-300g White Card Paper with Coating both side</t>
        </is>
      </c>
      <c r="G25" s="11" t="inlineStr"/>
      <c r="H25" s="11" t="inlineStr"/>
      <c r="I25" s="10" t="n">
        <v>1</v>
      </c>
      <c r="J25" s="14" t="n">
        <v>2</v>
      </c>
      <c r="K25" s="13">
        <f>IFERROR(I25*(1+IFERROR(J25,0)/100)*VLOOKUP(B25,'1. Articles (SKUs)'!E:N,10,FALSE),"")</f>
        <v/>
      </c>
      <c r="L25" s="14" t="inlineStr"/>
    </row>
    <row r="26">
      <c r="A26" s="9" t="inlineStr">
        <is>
          <t>FT2</t>
        </is>
      </c>
      <c r="B26" s="9" t="inlineStr">
        <is>
          <t>GPFRIOMP46</t>
        </is>
      </c>
      <c r="C26" s="9" t="inlineStr">
        <is>
          <t>FULL</t>
        </is>
      </c>
      <c r="D26" s="9" t="inlineStr">
        <is>
          <t>Insert Card</t>
        </is>
      </c>
      <c r="E26" s="9" t="inlineStr">
        <is>
          <t>Color paper insert material</t>
        </is>
      </c>
      <c r="F26" s="9" t="inlineStr">
        <is>
          <t>Printed Insert quality -  INSERT (“U” Shape) - Insert Material: 250g-300g White Card Paper with Coating both side</t>
        </is>
      </c>
      <c r="G26" s="9" t="inlineStr"/>
      <c r="H26" s="9" t="inlineStr"/>
      <c r="I26" s="10" t="n">
        <v>1</v>
      </c>
      <c r="J26" s="14" t="n">
        <v>2</v>
      </c>
      <c r="K26" s="13">
        <f>IFERROR(I26*(1+IFERROR(J26,0)/100)*VLOOKUP(B26,'1. Articles (SKUs)'!E:N,10,FALSE),"")</f>
        <v/>
      </c>
      <c r="L26" s="14" t="inlineStr"/>
    </row>
    <row r="27">
      <c r="A27" s="11" t="inlineStr">
        <is>
          <t>FT2</t>
        </is>
      </c>
      <c r="B27" s="11" t="inlineStr">
        <is>
          <t>GPFRIOMP46</t>
        </is>
      </c>
      <c r="C27" s="11" t="inlineStr">
        <is>
          <t>FULL</t>
        </is>
      </c>
      <c r="D27" s="11" t="inlineStr">
        <is>
          <t>Stiffener</t>
        </is>
      </c>
      <c r="E27" s="11" t="inlineStr">
        <is>
          <t>Cardboard material(Stiffener)</t>
        </is>
      </c>
      <c r="F27" s="11" t="inlineStr">
        <is>
          <t>Packaging inside need to put a “U”  1 ply thickness(1 layers with 1 layer corrugated ) in White Cardboard to maintain the shape before putting into the box</t>
        </is>
      </c>
      <c r="G27" s="11" t="inlineStr"/>
      <c r="H27" s="11" t="inlineStr"/>
      <c r="I27" s="10" t="n">
        <v>1</v>
      </c>
      <c r="J27" s="14" t="n">
        <v>2</v>
      </c>
      <c r="K27" s="13">
        <f>IFERROR(I27*(1+IFERROR(J27,0)/100)*VLOOKUP(B27,'1. Articles (SKUs)'!E:N,10,FALSE),"")</f>
        <v/>
      </c>
      <c r="L27" s="14" t="inlineStr"/>
    </row>
    <row r="28">
      <c r="A28" s="9" t="inlineStr">
        <is>
          <t>FT2</t>
        </is>
      </c>
      <c r="B28" s="9" t="inlineStr">
        <is>
          <t>GPFRIOMP46</t>
        </is>
      </c>
      <c r="C28" s="9" t="inlineStr">
        <is>
          <t>FULL</t>
        </is>
      </c>
      <c r="D28" s="9" t="inlineStr">
        <is>
          <t>Stiffener</t>
        </is>
      </c>
      <c r="E28" s="9" t="inlineStr">
        <is>
          <t>Cardboard material(Stiffener)</t>
        </is>
      </c>
      <c r="F28" s="9" t="inlineStr">
        <is>
          <t>White square card</t>
        </is>
      </c>
      <c r="G28" s="9" t="inlineStr"/>
      <c r="H28" s="9" t="inlineStr"/>
      <c r="I28" s="10" t="n">
        <v>1</v>
      </c>
      <c r="J28" s="14" t="n">
        <v>2</v>
      </c>
      <c r="K28" s="13">
        <f>IFERROR(I28*(1+IFERROR(J28,0)/100)*VLOOKUP(B28,'1. Articles (SKUs)'!E:N,10,FALSE),"")</f>
        <v/>
      </c>
      <c r="L28" s="14" t="inlineStr"/>
    </row>
    <row r="29">
      <c r="A29" s="11" t="inlineStr">
        <is>
          <t>FT2</t>
        </is>
      </c>
      <c r="B29" s="11" t="inlineStr">
        <is>
          <t>GPFRIOMP80</t>
        </is>
      </c>
      <c r="C29" s="11" t="inlineStr">
        <is>
          <t>FULL XL</t>
        </is>
      </c>
      <c r="D29" s="11" t="inlineStr">
        <is>
          <t>Label</t>
        </is>
      </c>
      <c r="E29" s="11" t="inlineStr">
        <is>
          <t>Non woven label with coating</t>
        </is>
      </c>
      <c r="F29" s="11" t="inlineStr">
        <is>
          <t>3M non woven material with white ground / black color font  (INK CANNOT DISCOLORATION AND STAIN ON PRODUCT)</t>
        </is>
      </c>
      <c r="G29" s="11" t="inlineStr">
        <is>
          <t>9.0cmX13.0cm</t>
        </is>
      </c>
      <c r="H29" s="11" t="inlineStr">
        <is>
          <t>Position of law tag label – Sewing at the middle of short side</t>
        </is>
      </c>
      <c r="I29" s="10" t="n">
        <v>1</v>
      </c>
      <c r="J29" s="14" t="n">
        <v>2</v>
      </c>
      <c r="K29" s="13">
        <f>IFERROR(I29*(1+IFERROR(J29,0)/100)*VLOOKUP(B29,'1. Articles (SKUs)'!E:N,10,FALSE),"")</f>
        <v/>
      </c>
      <c r="L29" s="14" t="inlineStr"/>
    </row>
    <row r="30">
      <c r="A30" s="9" t="inlineStr">
        <is>
          <t>FT2</t>
        </is>
      </c>
      <c r="B30" s="9" t="inlineStr">
        <is>
          <t>GPFRIOMP80</t>
        </is>
      </c>
      <c r="C30" s="9" t="inlineStr">
        <is>
          <t>FULL XL</t>
        </is>
      </c>
      <c r="D30" s="9" t="inlineStr">
        <is>
          <t>Label</t>
        </is>
      </c>
      <c r="E30" s="9" t="inlineStr">
        <is>
          <t>Non woven label with coating</t>
        </is>
      </c>
      <c r="F30" s="9" t="inlineStr">
        <is>
          <t>3M non woven material with white ground / black color font  (INK CANNOT DISCOLORATION AND STAIN ON PRODUCT)</t>
        </is>
      </c>
      <c r="G30" s="9" t="inlineStr">
        <is>
          <t>4.0cmX3.0cm</t>
        </is>
      </c>
      <c r="H30" s="9" t="inlineStr">
        <is>
          <t>Position of law tag label for MP &amp; PP – 3" apart from opening (Inside)</t>
        </is>
      </c>
      <c r="I30" s="10" t="n">
        <v>1</v>
      </c>
      <c r="J30" s="14" t="n">
        <v>2</v>
      </c>
      <c r="K30" s="13">
        <f>IFERROR(I30*(1+IFERROR(J30,0)/100)*VLOOKUP(B30,'1. Articles (SKUs)'!E:N,10,FALSE),"")</f>
        <v/>
      </c>
      <c r="L30" s="14" t="inlineStr"/>
    </row>
    <row r="31">
      <c r="A31" s="11" t="inlineStr">
        <is>
          <t>FT2</t>
        </is>
      </c>
      <c r="B31" s="11" t="inlineStr">
        <is>
          <t>GPFRIOMP80</t>
        </is>
      </c>
      <c r="C31" s="11" t="inlineStr">
        <is>
          <t>FULL XL</t>
        </is>
      </c>
      <c r="D31" s="11" t="inlineStr">
        <is>
          <t>Packaging</t>
        </is>
      </c>
      <c r="E31" s="11" t="inlineStr">
        <is>
          <t>Packaging type</t>
        </is>
      </c>
      <c r="F31" s="11" t="inlineStr">
        <is>
          <t>Color paper insert with vinyl PVC Bag with white bound seam &amp; inside cardboard wrapped by product(Stiffener)</t>
        </is>
      </c>
      <c r="G31" s="11" t="inlineStr"/>
      <c r="H31" s="11" t="inlineStr"/>
      <c r="I31" s="10" t="n">
        <v>1</v>
      </c>
      <c r="J31" s="14" t="n">
        <v>2</v>
      </c>
      <c r="K31" s="13">
        <f>IFERROR(I31*(1+IFERROR(J31,0)/100)*VLOOKUP(B31,'1. Articles (SKUs)'!E:N,10,FALSE),"")</f>
        <v/>
      </c>
      <c r="L31" s="14" t="inlineStr"/>
    </row>
    <row r="32">
      <c r="A32" s="9" t="inlineStr">
        <is>
          <t>FT2</t>
        </is>
      </c>
      <c r="B32" s="9" t="inlineStr">
        <is>
          <t>GPFRIOMP80</t>
        </is>
      </c>
      <c r="C32" s="9" t="inlineStr">
        <is>
          <t>FULL XL</t>
        </is>
      </c>
      <c r="D32" s="9" t="inlineStr">
        <is>
          <t>Polybag</t>
        </is>
      </c>
      <c r="E32" s="9" t="inlineStr">
        <is>
          <t>Bag material</t>
        </is>
      </c>
      <c r="F32" s="9" t="inlineStr">
        <is>
          <t>12S (Thickness)- Transparent PVC Bag with 7S(Thickness) White PVC White Binding all around seam and 3# Nylon Coil White Zipper(No Hanger Loop on top)</t>
        </is>
      </c>
      <c r="G32" s="9" t="inlineStr"/>
      <c r="H32" s="9" t="inlineStr"/>
      <c r="I32" s="10" t="n">
        <v>1</v>
      </c>
      <c r="J32" s="14" t="n">
        <v>2</v>
      </c>
      <c r="K32" s="13">
        <f>IFERROR(I32*(1+IFERROR(J32,0)/100)*VLOOKUP(B32,'1. Articles (SKUs)'!E:N,10,FALSE),"")</f>
        <v/>
      </c>
      <c r="L32" s="14" t="inlineStr"/>
    </row>
    <row r="33">
      <c r="A33" s="11" t="inlineStr">
        <is>
          <t>FT2</t>
        </is>
      </c>
      <c r="B33" s="11" t="inlineStr">
        <is>
          <t>GPFRIOMP80</t>
        </is>
      </c>
      <c r="C33" s="11" t="inlineStr">
        <is>
          <t>FULL XL</t>
        </is>
      </c>
      <c r="D33" s="11" t="inlineStr">
        <is>
          <t>Polybag</t>
        </is>
      </c>
      <c r="E33" s="11" t="inlineStr">
        <is>
          <t>Bag material</t>
        </is>
      </c>
      <c r="F33" s="11" t="inlineStr">
        <is>
          <t>Size – 3.5cm H X 11.5cm W, 0.35cm (Thickness) - PVC  Transparent Polybag with PP Transparent Plastic Hanger on Top, Bag opening at the bottom with automatic adhesive tape.( All PVC Materials need to use NON DEPH Substance to make the bag)</t>
        </is>
      </c>
      <c r="G33" s="11" t="inlineStr"/>
      <c r="H33" s="11" t="inlineStr"/>
      <c r="I33" s="10" t="n">
        <v>1</v>
      </c>
      <c r="J33" s="14" t="n">
        <v>2</v>
      </c>
      <c r="K33" s="13">
        <f>IFERROR(I33*(1+IFERROR(J33,0)/100)*VLOOKUP(B33,'1. Articles (SKUs)'!E:N,10,FALSE),"")</f>
        <v/>
      </c>
      <c r="L33" s="14" t="inlineStr"/>
    </row>
    <row r="34">
      <c r="A34" s="9" t="inlineStr">
        <is>
          <t>FT2</t>
        </is>
      </c>
      <c r="B34" s="9" t="inlineStr">
        <is>
          <t>GPFRIOMP80</t>
        </is>
      </c>
      <c r="C34" s="9" t="inlineStr">
        <is>
          <t>FULL XL</t>
        </is>
      </c>
      <c r="D34" s="9" t="inlineStr">
        <is>
          <t>Insert Card</t>
        </is>
      </c>
      <c r="E34" s="9" t="inlineStr">
        <is>
          <t>Color paper insert material</t>
        </is>
      </c>
      <c r="F34" s="9" t="inlineStr">
        <is>
          <t>Printed Insert quality -  INSERT (“U” Shape) - Insert Material: 250g-300g White Card Paper with Coating both side</t>
        </is>
      </c>
      <c r="G34" s="9" t="inlineStr"/>
      <c r="H34" s="9" t="inlineStr"/>
      <c r="I34" s="10" t="n">
        <v>1</v>
      </c>
      <c r="J34" s="14" t="n">
        <v>2</v>
      </c>
      <c r="K34" s="13">
        <f>IFERROR(I34*(1+IFERROR(J34,0)/100)*VLOOKUP(B34,'1. Articles (SKUs)'!E:N,10,FALSE),"")</f>
        <v/>
      </c>
      <c r="L34" s="14" t="inlineStr"/>
    </row>
    <row r="35">
      <c r="A35" s="11" t="inlineStr">
        <is>
          <t>FT2</t>
        </is>
      </c>
      <c r="B35" s="11" t="inlineStr">
        <is>
          <t>GPFRIOMP80</t>
        </is>
      </c>
      <c r="C35" s="11" t="inlineStr">
        <is>
          <t>FULL XL</t>
        </is>
      </c>
      <c r="D35" s="11" t="inlineStr">
        <is>
          <t>Insert Card</t>
        </is>
      </c>
      <c r="E35" s="11" t="inlineStr">
        <is>
          <t>Color paper insert material</t>
        </is>
      </c>
      <c r="F35" s="11" t="inlineStr">
        <is>
          <t>Printed Insert quality -  INSERT (“U” Shape) - Insert Material: 250g-300g White Card Paper with Coating both side</t>
        </is>
      </c>
      <c r="G35" s="11" t="inlineStr"/>
      <c r="H35" s="11" t="inlineStr"/>
      <c r="I35" s="10" t="n">
        <v>1</v>
      </c>
      <c r="J35" s="14" t="n">
        <v>2</v>
      </c>
      <c r="K35" s="13">
        <f>IFERROR(I35*(1+IFERROR(J35,0)/100)*VLOOKUP(B35,'1. Articles (SKUs)'!E:N,10,FALSE),"")</f>
        <v/>
      </c>
      <c r="L35" s="14" t="inlineStr"/>
    </row>
    <row r="36">
      <c r="A36" s="9" t="inlineStr">
        <is>
          <t>FT2</t>
        </is>
      </c>
      <c r="B36" s="9" t="inlineStr">
        <is>
          <t>GPFRIOMP80</t>
        </is>
      </c>
      <c r="C36" s="9" t="inlineStr">
        <is>
          <t>FULL XL</t>
        </is>
      </c>
      <c r="D36" s="9" t="inlineStr">
        <is>
          <t>Stiffener</t>
        </is>
      </c>
      <c r="E36" s="9" t="inlineStr">
        <is>
          <t>Cardboard material(Stiffener)</t>
        </is>
      </c>
      <c r="F36" s="9" t="inlineStr">
        <is>
          <t>Packaging inside need to put a “U”  1 ply thickness(1 layers with 1 layer corrugated ) in White Cardboard to maintain the shape before putting into the box</t>
        </is>
      </c>
      <c r="G36" s="9" t="inlineStr"/>
      <c r="H36" s="9" t="inlineStr"/>
      <c r="I36" s="10" t="n">
        <v>1</v>
      </c>
      <c r="J36" s="14" t="n">
        <v>2</v>
      </c>
      <c r="K36" s="13">
        <f>IFERROR(I36*(1+IFERROR(J36,0)/100)*VLOOKUP(B36,'1. Articles (SKUs)'!E:N,10,FALSE),"")</f>
        <v/>
      </c>
      <c r="L36" s="14" t="inlineStr"/>
    </row>
    <row r="37">
      <c r="A37" s="11" t="inlineStr">
        <is>
          <t>FT2</t>
        </is>
      </c>
      <c r="B37" s="11" t="inlineStr">
        <is>
          <t>GPFRIOMP80</t>
        </is>
      </c>
      <c r="C37" s="11" t="inlineStr">
        <is>
          <t>FULL XL</t>
        </is>
      </c>
      <c r="D37" s="11" t="inlineStr">
        <is>
          <t>Stiffener</t>
        </is>
      </c>
      <c r="E37" s="11" t="inlineStr">
        <is>
          <t>Cardboard material(Stiffener)</t>
        </is>
      </c>
      <c r="F37" s="11" t="inlineStr">
        <is>
          <t>White square card</t>
        </is>
      </c>
      <c r="G37" s="11" t="inlineStr"/>
      <c r="H37" s="11" t="inlineStr"/>
      <c r="I37" s="10" t="n">
        <v>1</v>
      </c>
      <c r="J37" s="14" t="n">
        <v>2</v>
      </c>
      <c r="K37" s="13">
        <f>IFERROR(I37*(1+IFERROR(J37,0)/100)*VLOOKUP(B37,'1. Articles (SKUs)'!E:N,10,FALSE),"")</f>
        <v/>
      </c>
      <c r="L37" s="14" t="inlineStr"/>
    </row>
    <row r="38">
      <c r="A38" s="9" t="inlineStr">
        <is>
          <t>FT2</t>
        </is>
      </c>
      <c r="B38" s="9" t="inlineStr">
        <is>
          <t>GPFRIOMP50</t>
        </is>
      </c>
      <c r="C38" s="9" t="inlineStr">
        <is>
          <t>QUEEN</t>
        </is>
      </c>
      <c r="D38" s="9" t="inlineStr">
        <is>
          <t>Label</t>
        </is>
      </c>
      <c r="E38" s="9" t="inlineStr">
        <is>
          <t>Non woven label with coating</t>
        </is>
      </c>
      <c r="F38" s="9" t="inlineStr">
        <is>
          <t>3M non woven material with white ground / black color font  (INK CANNOT DISCOLORATION AND STAIN ON PRODUCT)</t>
        </is>
      </c>
      <c r="G38" s="9" t="inlineStr">
        <is>
          <t>9.0cmX13.0cm</t>
        </is>
      </c>
      <c r="H38" s="9" t="inlineStr">
        <is>
          <t>Position of law tag label – Sewing at the middle of short side</t>
        </is>
      </c>
      <c r="I38" s="10" t="n">
        <v>1</v>
      </c>
      <c r="J38" s="14" t="n">
        <v>2</v>
      </c>
      <c r="K38" s="13">
        <f>IFERROR(I38*(1+IFERROR(J38,0)/100)*VLOOKUP(B38,'1. Articles (SKUs)'!E:N,10,FALSE),"")</f>
        <v/>
      </c>
      <c r="L38" s="14" t="inlineStr"/>
    </row>
    <row r="39">
      <c r="A39" s="11" t="inlineStr">
        <is>
          <t>FT2</t>
        </is>
      </c>
      <c r="B39" s="11" t="inlineStr">
        <is>
          <t>GPFRIOMP50</t>
        </is>
      </c>
      <c r="C39" s="11" t="inlineStr">
        <is>
          <t>QUEEN</t>
        </is>
      </c>
      <c r="D39" s="11" t="inlineStr">
        <is>
          <t>Label</t>
        </is>
      </c>
      <c r="E39" s="11" t="inlineStr">
        <is>
          <t>Non woven label with coating</t>
        </is>
      </c>
      <c r="F39" s="11" t="inlineStr">
        <is>
          <t>3M non woven material with white ground / black color font  (INK CANNOT DISCOLORATION AND STAIN ON PRODUCT)</t>
        </is>
      </c>
      <c r="G39" s="11" t="inlineStr">
        <is>
          <t>4.0cmX3.0cm</t>
        </is>
      </c>
      <c r="H39" s="11" t="inlineStr">
        <is>
          <t>Position of law tag label for MP &amp; PP – 3" apart from opening (Inside)</t>
        </is>
      </c>
      <c r="I39" s="10" t="n">
        <v>1</v>
      </c>
      <c r="J39" s="14" t="n">
        <v>2</v>
      </c>
      <c r="K39" s="13">
        <f>IFERROR(I39*(1+IFERROR(J39,0)/100)*VLOOKUP(B39,'1. Articles (SKUs)'!E:N,10,FALSE),"")</f>
        <v/>
      </c>
      <c r="L39" s="14" t="inlineStr"/>
    </row>
    <row r="40">
      <c r="A40" s="9" t="inlineStr">
        <is>
          <t>FT2</t>
        </is>
      </c>
      <c r="B40" s="9" t="inlineStr">
        <is>
          <t>GPFRIOMP50</t>
        </is>
      </c>
      <c r="C40" s="9" t="inlineStr">
        <is>
          <t>QUEEN</t>
        </is>
      </c>
      <c r="D40" s="9" t="inlineStr">
        <is>
          <t>Packaging</t>
        </is>
      </c>
      <c r="E40" s="9" t="inlineStr">
        <is>
          <t>Packaging type</t>
        </is>
      </c>
      <c r="F40" s="9" t="inlineStr">
        <is>
          <t>Color paper insert with vinyl PVC Bag with white bound seam &amp; inside cardboard wrapped by product(Stiffener)</t>
        </is>
      </c>
      <c r="G40" s="9" t="inlineStr"/>
      <c r="H40" s="9" t="inlineStr"/>
      <c r="I40" s="10" t="n">
        <v>1</v>
      </c>
      <c r="J40" s="14" t="n">
        <v>2</v>
      </c>
      <c r="K40" s="13">
        <f>IFERROR(I40*(1+IFERROR(J40,0)/100)*VLOOKUP(B40,'1. Articles (SKUs)'!E:N,10,FALSE),"")</f>
        <v/>
      </c>
      <c r="L40" s="14" t="inlineStr"/>
    </row>
    <row r="41">
      <c r="A41" s="11" t="inlineStr">
        <is>
          <t>FT2</t>
        </is>
      </c>
      <c r="B41" s="11" t="inlineStr">
        <is>
          <t>GPFRIOMP50</t>
        </is>
      </c>
      <c r="C41" s="11" t="inlineStr">
        <is>
          <t>QUEEN</t>
        </is>
      </c>
      <c r="D41" s="11" t="inlineStr">
        <is>
          <t>Polybag</t>
        </is>
      </c>
      <c r="E41" s="11" t="inlineStr">
        <is>
          <t>Bag material</t>
        </is>
      </c>
      <c r="F41" s="11" t="inlineStr">
        <is>
          <t>12S (Thickness)- Transparent PVC Bag with 7S(Thickness) White PVC White Binding all around seam and 3# Nylon Coil White Zipper(No Hanger Loop on top)</t>
        </is>
      </c>
      <c r="G41" s="11" t="inlineStr"/>
      <c r="H41" s="11" t="inlineStr"/>
      <c r="I41" s="10" t="n">
        <v>1</v>
      </c>
      <c r="J41" s="14" t="n">
        <v>2</v>
      </c>
      <c r="K41" s="13">
        <f>IFERROR(I41*(1+IFERROR(J41,0)/100)*VLOOKUP(B41,'1. Articles (SKUs)'!E:N,10,FALSE),"")</f>
        <v/>
      </c>
      <c r="L41" s="14" t="inlineStr"/>
    </row>
    <row r="42">
      <c r="A42" s="9" t="inlineStr">
        <is>
          <t>FT2</t>
        </is>
      </c>
      <c r="B42" s="9" t="inlineStr">
        <is>
          <t>GPFRIOMP50</t>
        </is>
      </c>
      <c r="C42" s="9" t="inlineStr">
        <is>
          <t>QUEEN</t>
        </is>
      </c>
      <c r="D42" s="9" t="inlineStr">
        <is>
          <t>Polybag</t>
        </is>
      </c>
      <c r="E42" s="9" t="inlineStr">
        <is>
          <t>Bag material</t>
        </is>
      </c>
      <c r="F42" s="9" t="inlineStr">
        <is>
          <t>Size – 3.5cm H X 11.5cm W, 0.35cm (Thickness) - PVC  Transparent Polybag with PP Transparent Plastic Hanger on Top, Bag opening at the bottom with automatic adhesive tape.( All PVC Materials need to use NON DEPH Substance to make the bag)</t>
        </is>
      </c>
      <c r="G42" s="9" t="inlineStr"/>
      <c r="H42" s="9" t="inlineStr"/>
      <c r="I42" s="10" t="n">
        <v>1</v>
      </c>
      <c r="J42" s="14" t="n">
        <v>2</v>
      </c>
      <c r="K42" s="13">
        <f>IFERROR(I42*(1+IFERROR(J42,0)/100)*VLOOKUP(B42,'1. Articles (SKUs)'!E:N,10,FALSE),"")</f>
        <v/>
      </c>
      <c r="L42" s="14" t="inlineStr"/>
    </row>
    <row r="43">
      <c r="A43" s="11" t="inlineStr">
        <is>
          <t>FT2</t>
        </is>
      </c>
      <c r="B43" s="11" t="inlineStr">
        <is>
          <t>GPFRIOMP50</t>
        </is>
      </c>
      <c r="C43" s="11" t="inlineStr">
        <is>
          <t>QUEEN</t>
        </is>
      </c>
      <c r="D43" s="11" t="inlineStr">
        <is>
          <t>Insert Card</t>
        </is>
      </c>
      <c r="E43" s="11" t="inlineStr">
        <is>
          <t>Color paper insert material</t>
        </is>
      </c>
      <c r="F43" s="11" t="inlineStr">
        <is>
          <t>Printed Insert quality -  INSERT (“U” Shape) - Insert Material: 250g-300g White Card Paper with Coating both side</t>
        </is>
      </c>
      <c r="G43" s="11" t="inlineStr"/>
      <c r="H43" s="11" t="inlineStr"/>
      <c r="I43" s="10" t="n">
        <v>1</v>
      </c>
      <c r="J43" s="14" t="n">
        <v>2</v>
      </c>
      <c r="K43" s="13">
        <f>IFERROR(I43*(1+IFERROR(J43,0)/100)*VLOOKUP(B43,'1. Articles (SKUs)'!E:N,10,FALSE),"")</f>
        <v/>
      </c>
      <c r="L43" s="14" t="inlineStr"/>
    </row>
    <row r="44">
      <c r="A44" s="9" t="inlineStr">
        <is>
          <t>FT2</t>
        </is>
      </c>
      <c r="B44" s="9" t="inlineStr">
        <is>
          <t>GPFRIOMP50</t>
        </is>
      </c>
      <c r="C44" s="9" t="inlineStr">
        <is>
          <t>QUEEN</t>
        </is>
      </c>
      <c r="D44" s="9" t="inlineStr">
        <is>
          <t>Insert Card</t>
        </is>
      </c>
      <c r="E44" s="9" t="inlineStr">
        <is>
          <t>Color paper insert material</t>
        </is>
      </c>
      <c r="F44" s="9" t="inlineStr">
        <is>
          <t>Printed Insert quality -  INSERT (“U” Shape) - Insert Material: 250g-300g White Card Paper with Coating both side</t>
        </is>
      </c>
      <c r="G44" s="9" t="inlineStr"/>
      <c r="H44" s="9" t="inlineStr"/>
      <c r="I44" s="10" t="n">
        <v>1</v>
      </c>
      <c r="J44" s="14" t="n">
        <v>2</v>
      </c>
      <c r="K44" s="13">
        <f>IFERROR(I44*(1+IFERROR(J44,0)/100)*VLOOKUP(B44,'1. Articles (SKUs)'!E:N,10,FALSE),"")</f>
        <v/>
      </c>
      <c r="L44" s="14" t="inlineStr"/>
    </row>
    <row r="45">
      <c r="A45" s="11" t="inlineStr">
        <is>
          <t>FT2</t>
        </is>
      </c>
      <c r="B45" s="11" t="inlineStr">
        <is>
          <t>GPFRIOMP50</t>
        </is>
      </c>
      <c r="C45" s="11" t="inlineStr">
        <is>
          <t>QUEEN</t>
        </is>
      </c>
      <c r="D45" s="11" t="inlineStr">
        <is>
          <t>Stiffener</t>
        </is>
      </c>
      <c r="E45" s="11" t="inlineStr">
        <is>
          <t>Cardboard material(Stiffener)</t>
        </is>
      </c>
      <c r="F45" s="11" t="inlineStr">
        <is>
          <t>Packaging inside need to put a “U”  1 ply thickness(1 layers with 1 layer corrugated ) in White Cardboard to maintain the shape before putting into the box</t>
        </is>
      </c>
      <c r="G45" s="11" t="inlineStr"/>
      <c r="H45" s="11" t="inlineStr"/>
      <c r="I45" s="10" t="n">
        <v>1</v>
      </c>
      <c r="J45" s="14" t="n">
        <v>2</v>
      </c>
      <c r="K45" s="13">
        <f>IFERROR(I45*(1+IFERROR(J45,0)/100)*VLOOKUP(B45,'1. Articles (SKUs)'!E:N,10,FALSE),"")</f>
        <v/>
      </c>
      <c r="L45" s="14" t="inlineStr"/>
    </row>
    <row r="46">
      <c r="A46" s="9" t="inlineStr">
        <is>
          <t>FT2</t>
        </is>
      </c>
      <c r="B46" s="9" t="inlineStr">
        <is>
          <t>GPFRIOMP50</t>
        </is>
      </c>
      <c r="C46" s="9" t="inlineStr">
        <is>
          <t>QUEEN</t>
        </is>
      </c>
      <c r="D46" s="9" t="inlineStr">
        <is>
          <t>Stiffener</t>
        </is>
      </c>
      <c r="E46" s="9" t="inlineStr">
        <is>
          <t>Cardboard material(Stiffener)</t>
        </is>
      </c>
      <c r="F46" s="9" t="inlineStr">
        <is>
          <t>White square card</t>
        </is>
      </c>
      <c r="G46" s="9" t="inlineStr"/>
      <c r="H46" s="9" t="inlineStr"/>
      <c r="I46" s="10" t="n">
        <v>1</v>
      </c>
      <c r="J46" s="14" t="n">
        <v>2</v>
      </c>
      <c r="K46" s="13">
        <f>IFERROR(I46*(1+IFERROR(J46,0)/100)*VLOOKUP(B46,'1. Articles (SKUs)'!E:N,10,FALSE),"")</f>
        <v/>
      </c>
      <c r="L46" s="14" t="inlineStr"/>
    </row>
    <row r="47">
      <c r="A47" s="11" t="inlineStr">
        <is>
          <t>FT2</t>
        </is>
      </c>
      <c r="B47" s="11" t="inlineStr">
        <is>
          <t>GPFRIOMP78</t>
        </is>
      </c>
      <c r="C47" s="11" t="inlineStr">
        <is>
          <t>KING</t>
        </is>
      </c>
      <c r="D47" s="11" t="inlineStr">
        <is>
          <t>Label</t>
        </is>
      </c>
      <c r="E47" s="11" t="inlineStr">
        <is>
          <t>Non woven label with coating</t>
        </is>
      </c>
      <c r="F47" s="11" t="inlineStr">
        <is>
          <t>3M non woven material with white ground / black color font  (INK CANNOT DISCOLORATION AND STAIN ON PRODUCT)</t>
        </is>
      </c>
      <c r="G47" s="11" t="inlineStr">
        <is>
          <t>9.0cmX13.0cm</t>
        </is>
      </c>
      <c r="H47" s="11" t="inlineStr">
        <is>
          <t>Position of law tag label – Sewing at the middle of short side</t>
        </is>
      </c>
      <c r="I47" s="10" t="n">
        <v>1</v>
      </c>
      <c r="J47" s="14" t="n">
        <v>2</v>
      </c>
      <c r="K47" s="13">
        <f>IFERROR(I47*(1+IFERROR(J47,0)/100)*VLOOKUP(B47,'1. Articles (SKUs)'!E:N,10,FALSE),"")</f>
        <v/>
      </c>
      <c r="L47" s="14" t="inlineStr"/>
    </row>
    <row r="48">
      <c r="A48" s="9" t="inlineStr">
        <is>
          <t>FT2</t>
        </is>
      </c>
      <c r="B48" s="9" t="inlineStr">
        <is>
          <t>GPFRIOMP78</t>
        </is>
      </c>
      <c r="C48" s="9" t="inlineStr">
        <is>
          <t>KING</t>
        </is>
      </c>
      <c r="D48" s="9" t="inlineStr">
        <is>
          <t>Label</t>
        </is>
      </c>
      <c r="E48" s="9" t="inlineStr">
        <is>
          <t>Non woven label with coating</t>
        </is>
      </c>
      <c r="F48" s="9" t="inlineStr">
        <is>
          <t>3M non woven material with white ground / black color font  (INK CANNOT DISCOLORATION AND STAIN ON PRODUCT)</t>
        </is>
      </c>
      <c r="G48" s="9" t="inlineStr">
        <is>
          <t>4.0cmX3.0cm</t>
        </is>
      </c>
      <c r="H48" s="9" t="inlineStr">
        <is>
          <t>Position of law tag label for MP &amp; PP – 3" apart from opening (Inside)</t>
        </is>
      </c>
      <c r="I48" s="10" t="n">
        <v>1</v>
      </c>
      <c r="J48" s="14" t="n">
        <v>2</v>
      </c>
      <c r="K48" s="13">
        <f>IFERROR(I48*(1+IFERROR(J48,0)/100)*VLOOKUP(B48,'1. Articles (SKUs)'!E:N,10,FALSE),"")</f>
        <v/>
      </c>
      <c r="L48" s="14" t="inlineStr"/>
    </row>
    <row r="49">
      <c r="A49" s="11" t="inlineStr">
        <is>
          <t>FT2</t>
        </is>
      </c>
      <c r="B49" s="11" t="inlineStr">
        <is>
          <t>GPFRIOMP78</t>
        </is>
      </c>
      <c r="C49" s="11" t="inlineStr">
        <is>
          <t>KING</t>
        </is>
      </c>
      <c r="D49" s="11" t="inlineStr">
        <is>
          <t>Packaging</t>
        </is>
      </c>
      <c r="E49" s="11" t="inlineStr">
        <is>
          <t>Packaging type</t>
        </is>
      </c>
      <c r="F49" s="11" t="inlineStr">
        <is>
          <t>Color paper insert with vinyl PVC Bag with white bound seam &amp; inside cardboard wrapped by product(Stiffener)</t>
        </is>
      </c>
      <c r="G49" s="11" t="inlineStr"/>
      <c r="H49" s="11" t="inlineStr"/>
      <c r="I49" s="10" t="n">
        <v>1</v>
      </c>
      <c r="J49" s="14" t="n">
        <v>2</v>
      </c>
      <c r="K49" s="13">
        <f>IFERROR(I49*(1+IFERROR(J49,0)/100)*VLOOKUP(B49,'1. Articles (SKUs)'!E:N,10,FALSE),"")</f>
        <v/>
      </c>
      <c r="L49" s="14" t="inlineStr"/>
    </row>
    <row r="50">
      <c r="A50" s="9" t="inlineStr">
        <is>
          <t>FT2</t>
        </is>
      </c>
      <c r="B50" s="9" t="inlineStr">
        <is>
          <t>GPFRIOMP78</t>
        </is>
      </c>
      <c r="C50" s="9" t="inlineStr">
        <is>
          <t>KING</t>
        </is>
      </c>
      <c r="D50" s="9" t="inlineStr">
        <is>
          <t>Polybag</t>
        </is>
      </c>
      <c r="E50" s="9" t="inlineStr">
        <is>
          <t>Bag material</t>
        </is>
      </c>
      <c r="F50" s="9" t="inlineStr">
        <is>
          <t>12S (Thickness)- Transparent PVC Bag with 7S(Thickness) White PVC White Binding all around seam and 3# Nylon Coil White Zipper(No Hanger Loop on top)</t>
        </is>
      </c>
      <c r="G50" s="9" t="inlineStr"/>
      <c r="H50" s="9" t="inlineStr"/>
      <c r="I50" s="10" t="n">
        <v>1</v>
      </c>
      <c r="J50" s="14" t="n">
        <v>2</v>
      </c>
      <c r="K50" s="13">
        <f>IFERROR(I50*(1+IFERROR(J50,0)/100)*VLOOKUP(B50,'1. Articles (SKUs)'!E:N,10,FALSE),"")</f>
        <v/>
      </c>
      <c r="L50" s="14" t="inlineStr"/>
    </row>
    <row r="51">
      <c r="A51" s="11" t="inlineStr">
        <is>
          <t>FT2</t>
        </is>
      </c>
      <c r="B51" s="11" t="inlineStr">
        <is>
          <t>GPFRIOMP78</t>
        </is>
      </c>
      <c r="C51" s="11" t="inlineStr">
        <is>
          <t>KING</t>
        </is>
      </c>
      <c r="D51" s="11" t="inlineStr">
        <is>
          <t>Polybag</t>
        </is>
      </c>
      <c r="E51" s="11" t="inlineStr">
        <is>
          <t>Bag material</t>
        </is>
      </c>
      <c r="F51" s="11" t="inlineStr">
        <is>
          <t>Size – 3.5cm H X 11.5cm W, 0.35cm (Thickness) - PVC  Transparent Polybag with PP Transparent Plastic Hanger on Top, Bag opening at the bottom with automatic adhesive tape.( All PVC Materials need to use NON DEPH Substance to make the bag)</t>
        </is>
      </c>
      <c r="G51" s="11" t="inlineStr"/>
      <c r="H51" s="11" t="inlineStr"/>
      <c r="I51" s="10" t="n">
        <v>1</v>
      </c>
      <c r="J51" s="14" t="n">
        <v>2</v>
      </c>
      <c r="K51" s="13">
        <f>IFERROR(I51*(1+IFERROR(J51,0)/100)*VLOOKUP(B51,'1. Articles (SKUs)'!E:N,10,FALSE),"")</f>
        <v/>
      </c>
      <c r="L51" s="14" t="inlineStr"/>
    </row>
    <row r="52">
      <c r="A52" s="9" t="inlineStr">
        <is>
          <t>FT2</t>
        </is>
      </c>
      <c r="B52" s="9" t="inlineStr">
        <is>
          <t>GPFRIOMP78</t>
        </is>
      </c>
      <c r="C52" s="9" t="inlineStr">
        <is>
          <t>KING</t>
        </is>
      </c>
      <c r="D52" s="9" t="inlineStr">
        <is>
          <t>Insert Card</t>
        </is>
      </c>
      <c r="E52" s="9" t="inlineStr">
        <is>
          <t>Color paper insert material</t>
        </is>
      </c>
      <c r="F52" s="9" t="inlineStr">
        <is>
          <t>Printed Insert quality -  INSERT (“U” Shape) - Insert Material: 250g-300g White Card Paper with Coating both side</t>
        </is>
      </c>
      <c r="G52" s="9" t="inlineStr"/>
      <c r="H52" s="9" t="inlineStr"/>
      <c r="I52" s="10" t="n">
        <v>1</v>
      </c>
      <c r="J52" s="14" t="n">
        <v>2</v>
      </c>
      <c r="K52" s="13">
        <f>IFERROR(I52*(1+IFERROR(J52,0)/100)*VLOOKUP(B52,'1. Articles (SKUs)'!E:N,10,FALSE),"")</f>
        <v/>
      </c>
      <c r="L52" s="14" t="inlineStr"/>
    </row>
    <row r="53">
      <c r="A53" s="11" t="inlineStr">
        <is>
          <t>FT2</t>
        </is>
      </c>
      <c r="B53" s="11" t="inlineStr">
        <is>
          <t>GPFRIOMP78</t>
        </is>
      </c>
      <c r="C53" s="11" t="inlineStr">
        <is>
          <t>KING</t>
        </is>
      </c>
      <c r="D53" s="11" t="inlineStr">
        <is>
          <t>Insert Card</t>
        </is>
      </c>
      <c r="E53" s="11" t="inlineStr">
        <is>
          <t>Color paper insert material</t>
        </is>
      </c>
      <c r="F53" s="11" t="inlineStr">
        <is>
          <t>Printed Insert quality -  INSERT (“U” Shape) - Insert Material: 250g-300g White Card Paper with Coating both side</t>
        </is>
      </c>
      <c r="G53" s="11" t="inlineStr"/>
      <c r="H53" s="11" t="inlineStr"/>
      <c r="I53" s="10" t="n">
        <v>1</v>
      </c>
      <c r="J53" s="14" t="n">
        <v>2</v>
      </c>
      <c r="K53" s="13">
        <f>IFERROR(I53*(1+IFERROR(J53,0)/100)*VLOOKUP(B53,'1. Articles (SKUs)'!E:N,10,FALSE),"")</f>
        <v/>
      </c>
      <c r="L53" s="14" t="inlineStr"/>
    </row>
    <row r="54">
      <c r="A54" s="9" t="inlineStr">
        <is>
          <t>FT2</t>
        </is>
      </c>
      <c r="B54" s="9" t="inlineStr">
        <is>
          <t>GPFRIOMP78</t>
        </is>
      </c>
      <c r="C54" s="9" t="inlineStr">
        <is>
          <t>KING</t>
        </is>
      </c>
      <c r="D54" s="9" t="inlineStr">
        <is>
          <t>Stiffener</t>
        </is>
      </c>
      <c r="E54" s="9" t="inlineStr">
        <is>
          <t>Cardboard material(Stiffener)</t>
        </is>
      </c>
      <c r="F54" s="9" t="inlineStr">
        <is>
          <t>Packaging inside need to put a “U”  1 ply thickness(1 layers with 1 layer corrugated ) in White Cardboard to maintain the shape before putting into the box</t>
        </is>
      </c>
      <c r="G54" s="9" t="inlineStr"/>
      <c r="H54" s="9" t="inlineStr"/>
      <c r="I54" s="10" t="n">
        <v>1</v>
      </c>
      <c r="J54" s="14" t="n">
        <v>2</v>
      </c>
      <c r="K54" s="13">
        <f>IFERROR(I54*(1+IFERROR(J54,0)/100)*VLOOKUP(B54,'1. Articles (SKUs)'!E:N,10,FALSE),"")</f>
        <v/>
      </c>
      <c r="L54" s="14" t="inlineStr"/>
    </row>
    <row r="55">
      <c r="A55" s="11" t="inlineStr">
        <is>
          <t>FT2</t>
        </is>
      </c>
      <c r="B55" s="11" t="inlineStr">
        <is>
          <t>GPFRIOMP78</t>
        </is>
      </c>
      <c r="C55" s="11" t="inlineStr">
        <is>
          <t>KING</t>
        </is>
      </c>
      <c r="D55" s="11" t="inlineStr">
        <is>
          <t>Stiffener</t>
        </is>
      </c>
      <c r="E55" s="11" t="inlineStr">
        <is>
          <t>Cardboard material(Stiffener)</t>
        </is>
      </c>
      <c r="F55" s="11" t="inlineStr">
        <is>
          <t>White square card</t>
        </is>
      </c>
      <c r="G55" s="11" t="inlineStr"/>
      <c r="H55" s="11" t="inlineStr"/>
      <c r="I55" s="10" t="n">
        <v>1</v>
      </c>
      <c r="J55" s="14" t="n">
        <v>2</v>
      </c>
      <c r="K55" s="13">
        <f>IFERROR(I55*(1+IFERROR(J55,0)/100)*VLOOKUP(B55,'1. Articles (SKUs)'!E:N,10,FALSE),"")</f>
        <v/>
      </c>
      <c r="L55" s="14" t="inlineStr"/>
    </row>
    <row r="56">
      <c r="A56" s="9" t="inlineStr">
        <is>
          <t>FT2</t>
        </is>
      </c>
      <c r="B56" s="9" t="inlineStr">
        <is>
          <t>GPFRIOMP72</t>
        </is>
      </c>
      <c r="C56" s="9" t="inlineStr">
        <is>
          <t>CAL KING</t>
        </is>
      </c>
      <c r="D56" s="9" t="inlineStr">
        <is>
          <t>Label</t>
        </is>
      </c>
      <c r="E56" s="9" t="inlineStr">
        <is>
          <t>Non woven label with coating</t>
        </is>
      </c>
      <c r="F56" s="9" t="inlineStr">
        <is>
          <t>3M non woven material with white ground / black color font  (INK CANNOT DISCOLORATION AND STAIN ON PRODUCT)</t>
        </is>
      </c>
      <c r="G56" s="9" t="inlineStr">
        <is>
          <t>9.0cmX13.0cm</t>
        </is>
      </c>
      <c r="H56" s="9" t="inlineStr">
        <is>
          <t>Position of law tag label – Sewing at the middle of short side</t>
        </is>
      </c>
      <c r="I56" s="10" t="n">
        <v>1</v>
      </c>
      <c r="J56" s="14" t="n">
        <v>2</v>
      </c>
      <c r="K56" s="13">
        <f>IFERROR(I56*(1+IFERROR(J56,0)/100)*VLOOKUP(B56,'1. Articles (SKUs)'!E:N,10,FALSE),"")</f>
        <v/>
      </c>
      <c r="L56" s="14" t="inlineStr"/>
    </row>
    <row r="57">
      <c r="A57" s="11" t="inlineStr">
        <is>
          <t>FT2</t>
        </is>
      </c>
      <c r="B57" s="11" t="inlineStr">
        <is>
          <t>GPFRIOMP72</t>
        </is>
      </c>
      <c r="C57" s="11" t="inlineStr">
        <is>
          <t>CAL KING</t>
        </is>
      </c>
      <c r="D57" s="11" t="inlineStr">
        <is>
          <t>Label</t>
        </is>
      </c>
      <c r="E57" s="11" t="inlineStr">
        <is>
          <t>Non woven label with coating</t>
        </is>
      </c>
      <c r="F57" s="11" t="inlineStr">
        <is>
          <t>3M non woven material with white ground / black color font  (INK CANNOT DISCOLORATION AND STAIN ON PRODUCT)</t>
        </is>
      </c>
      <c r="G57" s="11" t="inlineStr">
        <is>
          <t>4.0cmX3.0cm</t>
        </is>
      </c>
      <c r="H57" s="11" t="inlineStr">
        <is>
          <t>Position of law tag label for MP &amp; PP – 3" apart from opening (Inside)</t>
        </is>
      </c>
      <c r="I57" s="10" t="n">
        <v>1</v>
      </c>
      <c r="J57" s="14" t="n">
        <v>2</v>
      </c>
      <c r="K57" s="13">
        <f>IFERROR(I57*(1+IFERROR(J57,0)/100)*VLOOKUP(B57,'1. Articles (SKUs)'!E:N,10,FALSE),"")</f>
        <v/>
      </c>
      <c r="L57" s="14" t="inlineStr"/>
    </row>
    <row r="58">
      <c r="A58" s="9" t="inlineStr">
        <is>
          <t>FT2</t>
        </is>
      </c>
      <c r="B58" s="9" t="inlineStr">
        <is>
          <t>GPFRIOMP72</t>
        </is>
      </c>
      <c r="C58" s="9" t="inlineStr">
        <is>
          <t>CAL KING</t>
        </is>
      </c>
      <c r="D58" s="9" t="inlineStr">
        <is>
          <t>Packaging</t>
        </is>
      </c>
      <c r="E58" s="9" t="inlineStr">
        <is>
          <t>Packaging type</t>
        </is>
      </c>
      <c r="F58" s="9" t="inlineStr">
        <is>
          <t>Color paper insert with vinyl PVC Bag with white bound seam &amp; inside cardboard wrapped by product(Stiffener)</t>
        </is>
      </c>
      <c r="G58" s="9" t="inlineStr"/>
      <c r="H58" s="9" t="inlineStr"/>
      <c r="I58" s="10" t="n">
        <v>1</v>
      </c>
      <c r="J58" s="14" t="n">
        <v>2</v>
      </c>
      <c r="K58" s="13">
        <f>IFERROR(I58*(1+IFERROR(J58,0)/100)*VLOOKUP(B58,'1. Articles (SKUs)'!E:N,10,FALSE),"")</f>
        <v/>
      </c>
      <c r="L58" s="14" t="inlineStr"/>
    </row>
    <row r="59">
      <c r="A59" s="11" t="inlineStr">
        <is>
          <t>FT2</t>
        </is>
      </c>
      <c r="B59" s="11" t="inlineStr">
        <is>
          <t>GPFRIOMP72</t>
        </is>
      </c>
      <c r="C59" s="11" t="inlineStr">
        <is>
          <t>CAL KING</t>
        </is>
      </c>
      <c r="D59" s="11" t="inlineStr">
        <is>
          <t>Polybag</t>
        </is>
      </c>
      <c r="E59" s="11" t="inlineStr">
        <is>
          <t>Bag material</t>
        </is>
      </c>
      <c r="F59" s="11" t="inlineStr">
        <is>
          <t>12S (Thickness)- Transparent PVC Bag with 7S(Thickness) White PVC White Binding all around seam and 3# Nylon Coil White Zipper(No Hanger Loop on top)</t>
        </is>
      </c>
      <c r="G59" s="11" t="inlineStr"/>
      <c r="H59" s="11" t="inlineStr"/>
      <c r="I59" s="10" t="n">
        <v>1</v>
      </c>
      <c r="J59" s="14" t="n">
        <v>2</v>
      </c>
      <c r="K59" s="13">
        <f>IFERROR(I59*(1+IFERROR(J59,0)/100)*VLOOKUP(B59,'1. Articles (SKUs)'!E:N,10,FALSE),"")</f>
        <v/>
      </c>
      <c r="L59" s="14" t="inlineStr"/>
    </row>
    <row r="60">
      <c r="A60" s="9" t="inlineStr">
        <is>
          <t>FT2</t>
        </is>
      </c>
      <c r="B60" s="9" t="inlineStr">
        <is>
          <t>GPFRIOMP72</t>
        </is>
      </c>
      <c r="C60" s="9" t="inlineStr">
        <is>
          <t>CAL KING</t>
        </is>
      </c>
      <c r="D60" s="9" t="inlineStr">
        <is>
          <t>Polybag</t>
        </is>
      </c>
      <c r="E60" s="9" t="inlineStr">
        <is>
          <t>Bag material</t>
        </is>
      </c>
      <c r="F60" s="9" t="inlineStr">
        <is>
          <t>Size – 3.5cm H X 11.5cm W, 0.35cm (Thickness) - PVC  Transparent Polybag with PP Transparent Plastic Hanger on Top, Bag opening at the bottom with automatic adhesive tape.( All PVC Materials need to use NON DEPH Substance to make the bag)</t>
        </is>
      </c>
      <c r="G60" s="9" t="inlineStr"/>
      <c r="H60" s="9" t="inlineStr"/>
      <c r="I60" s="10" t="n">
        <v>1</v>
      </c>
      <c r="J60" s="14" t="n">
        <v>2</v>
      </c>
      <c r="K60" s="13">
        <f>IFERROR(I60*(1+IFERROR(J60,0)/100)*VLOOKUP(B60,'1. Articles (SKUs)'!E:N,10,FALSE),"")</f>
        <v/>
      </c>
      <c r="L60" s="14" t="inlineStr"/>
    </row>
    <row r="61">
      <c r="A61" s="11" t="inlineStr">
        <is>
          <t>FT2</t>
        </is>
      </c>
      <c r="B61" s="11" t="inlineStr">
        <is>
          <t>GPFRIOMP72</t>
        </is>
      </c>
      <c r="C61" s="11" t="inlineStr">
        <is>
          <t>CAL KING</t>
        </is>
      </c>
      <c r="D61" s="11" t="inlineStr">
        <is>
          <t>Insert Card</t>
        </is>
      </c>
      <c r="E61" s="11" t="inlineStr">
        <is>
          <t>Color paper insert material</t>
        </is>
      </c>
      <c r="F61" s="11" t="inlineStr">
        <is>
          <t>Printed Insert quality -  INSERT (“U” Shape) - Insert Material: 250g-300g White Card Paper with Coating both side</t>
        </is>
      </c>
      <c r="G61" s="11" t="inlineStr"/>
      <c r="H61" s="11" t="inlineStr"/>
      <c r="I61" s="10" t="n">
        <v>1</v>
      </c>
      <c r="J61" s="14" t="n">
        <v>2</v>
      </c>
      <c r="K61" s="13">
        <f>IFERROR(I61*(1+IFERROR(J61,0)/100)*VLOOKUP(B61,'1. Articles (SKUs)'!E:N,10,FALSE),"")</f>
        <v/>
      </c>
      <c r="L61" s="14" t="inlineStr"/>
    </row>
    <row r="62">
      <c r="A62" s="9" t="inlineStr">
        <is>
          <t>FT2</t>
        </is>
      </c>
      <c r="B62" s="9" t="inlineStr">
        <is>
          <t>GPFRIOMP72</t>
        </is>
      </c>
      <c r="C62" s="9" t="inlineStr">
        <is>
          <t>CAL KING</t>
        </is>
      </c>
      <c r="D62" s="9" t="inlineStr">
        <is>
          <t>Insert Card</t>
        </is>
      </c>
      <c r="E62" s="9" t="inlineStr">
        <is>
          <t>Color paper insert material</t>
        </is>
      </c>
      <c r="F62" s="9" t="inlineStr">
        <is>
          <t>Printed Insert quality -  INSERT (“U” Shape) - Insert Material: 250g-300g White Card Paper with Coating both side</t>
        </is>
      </c>
      <c r="G62" s="9" t="inlineStr"/>
      <c r="H62" s="9" t="inlineStr"/>
      <c r="I62" s="10" t="n">
        <v>1</v>
      </c>
      <c r="J62" s="14" t="n">
        <v>2</v>
      </c>
      <c r="K62" s="13">
        <f>IFERROR(I62*(1+IFERROR(J62,0)/100)*VLOOKUP(B62,'1. Articles (SKUs)'!E:N,10,FALSE),"")</f>
        <v/>
      </c>
      <c r="L62" s="14" t="inlineStr"/>
    </row>
    <row r="63">
      <c r="A63" s="11" t="inlineStr">
        <is>
          <t>FT2</t>
        </is>
      </c>
      <c r="B63" s="11" t="inlineStr">
        <is>
          <t>GPFRIOMP72</t>
        </is>
      </c>
      <c r="C63" s="11" t="inlineStr">
        <is>
          <t>CAL KING</t>
        </is>
      </c>
      <c r="D63" s="11" t="inlineStr">
        <is>
          <t>Stiffener</t>
        </is>
      </c>
      <c r="E63" s="11" t="inlineStr">
        <is>
          <t>Cardboard material(Stiffener)</t>
        </is>
      </c>
      <c r="F63" s="11" t="inlineStr">
        <is>
          <t>Packaging inside need to put a “U”  1 ply thickness(1 layers with 1 layer corrugated ) in White Cardboard to maintain the shape before putting into the box</t>
        </is>
      </c>
      <c r="G63" s="11" t="inlineStr"/>
      <c r="H63" s="11" t="inlineStr"/>
      <c r="I63" s="10" t="n">
        <v>1</v>
      </c>
      <c r="J63" s="14" t="n">
        <v>2</v>
      </c>
      <c r="K63" s="13">
        <f>IFERROR(I63*(1+IFERROR(J63,0)/100)*VLOOKUP(B63,'1. Articles (SKUs)'!E:N,10,FALSE),"")</f>
        <v/>
      </c>
      <c r="L63" s="14" t="inlineStr"/>
    </row>
    <row r="64">
      <c r="A64" s="9" t="inlineStr">
        <is>
          <t>FT2</t>
        </is>
      </c>
      <c r="B64" s="9" t="inlineStr">
        <is>
          <t>GPFRIOMP72</t>
        </is>
      </c>
      <c r="C64" s="9" t="inlineStr">
        <is>
          <t>CAL KING</t>
        </is>
      </c>
      <c r="D64" s="9" t="inlineStr">
        <is>
          <t>Stiffener</t>
        </is>
      </c>
      <c r="E64" s="9" t="inlineStr">
        <is>
          <t>Cardboard material(Stiffener)</t>
        </is>
      </c>
      <c r="F64" s="9" t="inlineStr">
        <is>
          <t>White square card</t>
        </is>
      </c>
      <c r="G64" s="9" t="inlineStr"/>
      <c r="H64" s="9" t="inlineStr"/>
      <c r="I64" s="10" t="n">
        <v>1</v>
      </c>
      <c r="J64" s="14" t="n">
        <v>2</v>
      </c>
      <c r="K64" s="13">
        <f>IFERROR(I64*(1+IFERROR(J64,0)/100)*VLOOKUP(B64,'1. Articles (SKUs)'!E:N,10,FALSE),"")</f>
        <v/>
      </c>
      <c r="L64" s="14" t="inlineStr"/>
    </row>
    <row r="65">
      <c r="A65" s="11" t="inlineStr">
        <is>
          <t>FT2</t>
        </is>
      </c>
      <c r="B65" s="11" t="inlineStr">
        <is>
          <t>GPFRIOMP36</t>
        </is>
      </c>
      <c r="C65" s="11" t="inlineStr">
        <is>
          <t>SPLIT  CAL KING</t>
        </is>
      </c>
      <c r="D65" s="11" t="inlineStr">
        <is>
          <t>Label</t>
        </is>
      </c>
      <c r="E65" s="11" t="inlineStr">
        <is>
          <t>Non woven label with coating</t>
        </is>
      </c>
      <c r="F65" s="11" t="inlineStr">
        <is>
          <t>3M non woven material with white ground / black color font  (INK CANNOT DISCOLORATION AND STAIN ON PRODUCT)</t>
        </is>
      </c>
      <c r="G65" s="11" t="inlineStr">
        <is>
          <t>9.0cmX13.0cm</t>
        </is>
      </c>
      <c r="H65" s="11" t="inlineStr">
        <is>
          <t>Position of law tag label – Sewing at the middle of short side</t>
        </is>
      </c>
      <c r="I65" s="10" t="n">
        <v>1</v>
      </c>
      <c r="J65" s="14" t="n">
        <v>2</v>
      </c>
      <c r="K65" s="13">
        <f>IFERROR(I65*(1+IFERROR(J65,0)/100)*VLOOKUP(B65,'1. Articles (SKUs)'!E:N,10,FALSE),"")</f>
        <v/>
      </c>
      <c r="L65" s="14" t="inlineStr"/>
    </row>
    <row r="66">
      <c r="A66" s="9" t="inlineStr">
        <is>
          <t>FT2</t>
        </is>
      </c>
      <c r="B66" s="9" t="inlineStr">
        <is>
          <t>GPFRIOMP36</t>
        </is>
      </c>
      <c r="C66" s="9" t="inlineStr">
        <is>
          <t>SPLIT  CAL KING</t>
        </is>
      </c>
      <c r="D66" s="9" t="inlineStr">
        <is>
          <t>Label</t>
        </is>
      </c>
      <c r="E66" s="9" t="inlineStr">
        <is>
          <t>Non woven label with coating</t>
        </is>
      </c>
      <c r="F66" s="9" t="inlineStr">
        <is>
          <t>3M non woven material with white ground / black color font  (INK CANNOT DISCOLORATION AND STAIN ON PRODUCT)</t>
        </is>
      </c>
      <c r="G66" s="9" t="inlineStr">
        <is>
          <t>4.0cmX3.0cm</t>
        </is>
      </c>
      <c r="H66" s="9" t="inlineStr">
        <is>
          <t>Position of law tag label for MP &amp; PP – 3" apart from opening (Inside)</t>
        </is>
      </c>
      <c r="I66" s="10" t="n">
        <v>1</v>
      </c>
      <c r="J66" s="14" t="n">
        <v>2</v>
      </c>
      <c r="K66" s="13">
        <f>IFERROR(I66*(1+IFERROR(J66,0)/100)*VLOOKUP(B66,'1. Articles (SKUs)'!E:N,10,FALSE),"")</f>
        <v/>
      </c>
      <c r="L66" s="14" t="inlineStr"/>
    </row>
    <row r="67">
      <c r="A67" s="11" t="inlineStr">
        <is>
          <t>FT2</t>
        </is>
      </c>
      <c r="B67" s="11" t="inlineStr">
        <is>
          <t>GPFRIOMP36</t>
        </is>
      </c>
      <c r="C67" s="11" t="inlineStr">
        <is>
          <t>SPLIT  CAL KING</t>
        </is>
      </c>
      <c r="D67" s="11" t="inlineStr">
        <is>
          <t>Packaging</t>
        </is>
      </c>
      <c r="E67" s="11" t="inlineStr">
        <is>
          <t>Packaging type</t>
        </is>
      </c>
      <c r="F67" s="11" t="inlineStr">
        <is>
          <t>Color paper insert with vinyl PVC Bag with white bound seam &amp; inside cardboard wrapped by product(Stiffener)</t>
        </is>
      </c>
      <c r="G67" s="11" t="inlineStr"/>
      <c r="H67" s="11" t="inlineStr"/>
      <c r="I67" s="10" t="n">
        <v>1</v>
      </c>
      <c r="J67" s="14" t="n">
        <v>2</v>
      </c>
      <c r="K67" s="13">
        <f>IFERROR(I67*(1+IFERROR(J67,0)/100)*VLOOKUP(B67,'1. Articles (SKUs)'!E:N,10,FALSE),"")</f>
        <v/>
      </c>
      <c r="L67" s="14" t="inlineStr"/>
    </row>
    <row r="68">
      <c r="A68" s="9" t="inlineStr">
        <is>
          <t>FT2</t>
        </is>
      </c>
      <c r="B68" s="9" t="inlineStr">
        <is>
          <t>GPFRIOMP36</t>
        </is>
      </c>
      <c r="C68" s="9" t="inlineStr">
        <is>
          <t>SPLIT  CAL KING</t>
        </is>
      </c>
      <c r="D68" s="9" t="inlineStr">
        <is>
          <t>Polybag</t>
        </is>
      </c>
      <c r="E68" s="9" t="inlineStr">
        <is>
          <t>Bag material</t>
        </is>
      </c>
      <c r="F68" s="9" t="inlineStr">
        <is>
          <t>12S (Thickness)- Transparent PVC Bag with 7S(Thickness) White PVC White Binding all around seam and 3# Nylon Coil White Zipper(No Hanger Loop on top)</t>
        </is>
      </c>
      <c r="G68" s="9" t="inlineStr"/>
      <c r="H68" s="9" t="inlineStr"/>
      <c r="I68" s="10" t="n">
        <v>1</v>
      </c>
      <c r="J68" s="14" t="n">
        <v>2</v>
      </c>
      <c r="K68" s="13">
        <f>IFERROR(I68*(1+IFERROR(J68,0)/100)*VLOOKUP(B68,'1. Articles (SKUs)'!E:N,10,FALSE),"")</f>
        <v/>
      </c>
      <c r="L68" s="14" t="inlineStr"/>
    </row>
    <row r="69">
      <c r="A69" s="11" t="inlineStr">
        <is>
          <t>FT2</t>
        </is>
      </c>
      <c r="B69" s="11" t="inlineStr">
        <is>
          <t>GPFRIOMP36</t>
        </is>
      </c>
      <c r="C69" s="11" t="inlineStr">
        <is>
          <t>SPLIT  CAL KING</t>
        </is>
      </c>
      <c r="D69" s="11" t="inlineStr">
        <is>
          <t>Polybag</t>
        </is>
      </c>
      <c r="E69" s="11" t="inlineStr">
        <is>
          <t>Bag material</t>
        </is>
      </c>
      <c r="F69" s="11" t="inlineStr">
        <is>
          <t>Size – 3.5cm H X 11.5cm W, 0.35cm (Thickness) - PVC  Transparent Polybag with PP Transparent Plastic Hanger on Top, Bag opening at the bottom with automatic adhesive tape.( All PVC Materials need to use NON DEPH Substance to make the bag)</t>
        </is>
      </c>
      <c r="G69" s="11" t="inlineStr"/>
      <c r="H69" s="11" t="inlineStr"/>
      <c r="I69" s="10" t="n">
        <v>1</v>
      </c>
      <c r="J69" s="14" t="n">
        <v>2</v>
      </c>
      <c r="K69" s="13">
        <f>IFERROR(I69*(1+IFERROR(J69,0)/100)*VLOOKUP(B69,'1. Articles (SKUs)'!E:N,10,FALSE),"")</f>
        <v/>
      </c>
      <c r="L69" s="14" t="inlineStr"/>
    </row>
    <row r="70">
      <c r="A70" s="9" t="inlineStr">
        <is>
          <t>FT2</t>
        </is>
      </c>
      <c r="B70" s="9" t="inlineStr">
        <is>
          <t>GPFRIOMP36</t>
        </is>
      </c>
      <c r="C70" s="9" t="inlineStr">
        <is>
          <t>SPLIT  CAL KING</t>
        </is>
      </c>
      <c r="D70" s="9" t="inlineStr">
        <is>
          <t>Insert Card</t>
        </is>
      </c>
      <c r="E70" s="9" t="inlineStr">
        <is>
          <t>Color paper insert material</t>
        </is>
      </c>
      <c r="F70" s="9" t="inlineStr">
        <is>
          <t>Printed Insert quality -  INSERT (“U” Shape) - Insert Material: 250g-300g White Card Paper with Coating both side</t>
        </is>
      </c>
      <c r="G70" s="9" t="inlineStr"/>
      <c r="H70" s="9" t="inlineStr"/>
      <c r="I70" s="10" t="n">
        <v>1</v>
      </c>
      <c r="J70" s="14" t="n">
        <v>2</v>
      </c>
      <c r="K70" s="13">
        <f>IFERROR(I70*(1+IFERROR(J70,0)/100)*VLOOKUP(B70,'1. Articles (SKUs)'!E:N,10,FALSE),"")</f>
        <v/>
      </c>
      <c r="L70" s="14" t="inlineStr"/>
    </row>
    <row r="71">
      <c r="A71" s="11" t="inlineStr">
        <is>
          <t>FT2</t>
        </is>
      </c>
      <c r="B71" s="11" t="inlineStr">
        <is>
          <t>GPFRIOMP36</t>
        </is>
      </c>
      <c r="C71" s="11" t="inlineStr">
        <is>
          <t>SPLIT  CAL KING</t>
        </is>
      </c>
      <c r="D71" s="11" t="inlineStr">
        <is>
          <t>Insert Card</t>
        </is>
      </c>
      <c r="E71" s="11" t="inlineStr">
        <is>
          <t>Color paper insert material</t>
        </is>
      </c>
      <c r="F71" s="11" t="inlineStr">
        <is>
          <t>Printed Insert quality -  INSERT (“U” Shape) - Insert Material: 250g-300g White Card Paper with Coating both side</t>
        </is>
      </c>
      <c r="G71" s="11" t="inlineStr"/>
      <c r="H71" s="11" t="inlineStr"/>
      <c r="I71" s="10" t="n">
        <v>1</v>
      </c>
      <c r="J71" s="14" t="n">
        <v>2</v>
      </c>
      <c r="K71" s="13">
        <f>IFERROR(I71*(1+IFERROR(J71,0)/100)*VLOOKUP(B71,'1. Articles (SKUs)'!E:N,10,FALSE),"")</f>
        <v/>
      </c>
      <c r="L71" s="14" t="inlineStr"/>
    </row>
    <row r="72">
      <c r="A72" s="9" t="inlineStr">
        <is>
          <t>FT2</t>
        </is>
      </c>
      <c r="B72" s="9" t="inlineStr">
        <is>
          <t>GPFRIOMP36</t>
        </is>
      </c>
      <c r="C72" s="9" t="inlineStr">
        <is>
          <t>SPLIT  CAL KING</t>
        </is>
      </c>
      <c r="D72" s="9" t="inlineStr">
        <is>
          <t>Stiffener</t>
        </is>
      </c>
      <c r="E72" s="9" t="inlineStr">
        <is>
          <t>Cardboard material(Stiffener)</t>
        </is>
      </c>
      <c r="F72" s="9" t="inlineStr">
        <is>
          <t>Packaging inside need to put a “U”  1 ply thickness(1 layers with 1 layer corrugated ) in White Cardboard to maintain the shape before putting into the box</t>
        </is>
      </c>
      <c r="G72" s="9" t="inlineStr"/>
      <c r="H72" s="9" t="inlineStr"/>
      <c r="I72" s="10" t="n">
        <v>1</v>
      </c>
      <c r="J72" s="14" t="n">
        <v>2</v>
      </c>
      <c r="K72" s="13">
        <f>IFERROR(I72*(1+IFERROR(J72,0)/100)*VLOOKUP(B72,'1. Articles (SKUs)'!E:N,10,FALSE),"")</f>
        <v/>
      </c>
      <c r="L72" s="14" t="inlineStr"/>
    </row>
    <row r="73">
      <c r="A73" s="11" t="inlineStr">
        <is>
          <t>FT2</t>
        </is>
      </c>
      <c r="B73" s="11" t="inlineStr">
        <is>
          <t>GPFRIOMP36</t>
        </is>
      </c>
      <c r="C73" s="11" t="inlineStr">
        <is>
          <t>SPLIT  CAL KING</t>
        </is>
      </c>
      <c r="D73" s="11" t="inlineStr">
        <is>
          <t>Stiffener</t>
        </is>
      </c>
      <c r="E73" s="11" t="inlineStr">
        <is>
          <t>Cardboard material(Stiffener)</t>
        </is>
      </c>
      <c r="F73" s="11" t="inlineStr">
        <is>
          <t>White square card</t>
        </is>
      </c>
      <c r="G73" s="11" t="inlineStr"/>
      <c r="H73" s="11" t="inlineStr"/>
      <c r="I73" s="10" t="n">
        <v>1</v>
      </c>
      <c r="J73" s="14" t="n">
        <v>2</v>
      </c>
      <c r="K73" s="13">
        <f>IFERROR(I73*(1+IFERROR(J73,0)/100)*VLOOKUP(B73,'1. Articles (SKUs)'!E:N,10,FALSE),"")</f>
        <v/>
      </c>
      <c r="L73" s="14" t="inlineStr"/>
    </row>
    <row r="74">
      <c r="A74" s="9" t="inlineStr">
        <is>
          <t>FT2</t>
        </is>
      </c>
      <c r="B74" s="9" t="inlineStr">
        <is>
          <t>GPFRIOMP52</t>
        </is>
      </c>
      <c r="C74" s="9" t="inlineStr">
        <is>
          <t>SPLIT HEAD QUEEN</t>
        </is>
      </c>
      <c r="D74" s="9" t="inlineStr">
        <is>
          <t>Label</t>
        </is>
      </c>
      <c r="E74" s="9" t="inlineStr">
        <is>
          <t>Non woven label with coating</t>
        </is>
      </c>
      <c r="F74" s="9" t="inlineStr">
        <is>
          <t>3M non woven material with white ground / black color font  (INK CANNOT DISCOLORATION AND STAIN ON PRODUCT)</t>
        </is>
      </c>
      <c r="G74" s="9" t="inlineStr">
        <is>
          <t>9.0cmX13.0cm</t>
        </is>
      </c>
      <c r="H74" s="9" t="inlineStr">
        <is>
          <t>Position of law tag label – Sewing at the middle of short side</t>
        </is>
      </c>
      <c r="I74" s="10" t="n">
        <v>1</v>
      </c>
      <c r="J74" s="14" t="n">
        <v>2</v>
      </c>
      <c r="K74" s="13">
        <f>IFERROR(I74*(1+IFERROR(J74,0)/100)*VLOOKUP(B74,'1. Articles (SKUs)'!E:N,10,FALSE),"")</f>
        <v/>
      </c>
      <c r="L74" s="14" t="inlineStr"/>
    </row>
    <row r="75">
      <c r="A75" s="11" t="inlineStr">
        <is>
          <t>FT2</t>
        </is>
      </c>
      <c r="B75" s="11" t="inlineStr">
        <is>
          <t>GPFRIOMP52</t>
        </is>
      </c>
      <c r="C75" s="11" t="inlineStr">
        <is>
          <t>SPLIT HEAD QUEEN</t>
        </is>
      </c>
      <c r="D75" s="11" t="inlineStr">
        <is>
          <t>Label</t>
        </is>
      </c>
      <c r="E75" s="11" t="inlineStr">
        <is>
          <t>Non woven label with coating</t>
        </is>
      </c>
      <c r="F75" s="11" t="inlineStr">
        <is>
          <t>3M non woven material with white ground / black color font  (INK CANNOT DISCOLORATION AND STAIN ON PRODUCT)</t>
        </is>
      </c>
      <c r="G75" s="11" t="inlineStr">
        <is>
          <t>4.0cmX3.0cm</t>
        </is>
      </c>
      <c r="H75" s="11" t="inlineStr">
        <is>
          <t>Position of law tag label for MP &amp; PP – 3" apart from opening (Inside)</t>
        </is>
      </c>
      <c r="I75" s="10" t="n">
        <v>1</v>
      </c>
      <c r="J75" s="14" t="n">
        <v>2</v>
      </c>
      <c r="K75" s="13">
        <f>IFERROR(I75*(1+IFERROR(J75,0)/100)*VLOOKUP(B75,'1. Articles (SKUs)'!E:N,10,FALSE),"")</f>
        <v/>
      </c>
      <c r="L75" s="14" t="inlineStr"/>
    </row>
    <row r="76">
      <c r="A76" s="9" t="inlineStr">
        <is>
          <t>FT2</t>
        </is>
      </c>
      <c r="B76" s="9" t="inlineStr">
        <is>
          <t>GPFRIOMP52</t>
        </is>
      </c>
      <c r="C76" s="9" t="inlineStr">
        <is>
          <t>SPLIT HEAD QUEEN</t>
        </is>
      </c>
      <c r="D76" s="9" t="inlineStr">
        <is>
          <t>Packaging</t>
        </is>
      </c>
      <c r="E76" s="9" t="inlineStr">
        <is>
          <t>Packaging type</t>
        </is>
      </c>
      <c r="F76" s="9" t="inlineStr">
        <is>
          <t>Color paper insert with vinyl PVC Bag with white bound seam &amp; inside cardboard wrapped by product(Stiffener)</t>
        </is>
      </c>
      <c r="G76" s="9" t="inlineStr"/>
      <c r="H76" s="9" t="inlineStr"/>
      <c r="I76" s="10" t="n">
        <v>1</v>
      </c>
      <c r="J76" s="14" t="n">
        <v>2</v>
      </c>
      <c r="K76" s="13">
        <f>IFERROR(I76*(1+IFERROR(J76,0)/100)*VLOOKUP(B76,'1. Articles (SKUs)'!E:N,10,FALSE),"")</f>
        <v/>
      </c>
      <c r="L76" s="14" t="inlineStr"/>
    </row>
    <row r="77">
      <c r="A77" s="11" t="inlineStr">
        <is>
          <t>FT2</t>
        </is>
      </c>
      <c r="B77" s="11" t="inlineStr">
        <is>
          <t>GPFRIOMP52</t>
        </is>
      </c>
      <c r="C77" s="11" t="inlineStr">
        <is>
          <t>SPLIT HEAD QUEEN</t>
        </is>
      </c>
      <c r="D77" s="11" t="inlineStr">
        <is>
          <t>Polybag</t>
        </is>
      </c>
      <c r="E77" s="11" t="inlineStr">
        <is>
          <t>Bag material</t>
        </is>
      </c>
      <c r="F77" s="11" t="inlineStr">
        <is>
          <t>12S (Thickness)- Transparent PVC Bag with 7S(Thickness) White PVC White Binding all around seam and 3# Nylon Coil White Zipper(No Hanger Loop on top)</t>
        </is>
      </c>
      <c r="G77" s="11" t="inlineStr"/>
      <c r="H77" s="11" t="inlineStr"/>
      <c r="I77" s="10" t="n">
        <v>1</v>
      </c>
      <c r="J77" s="14" t="n">
        <v>2</v>
      </c>
      <c r="K77" s="13">
        <f>IFERROR(I77*(1+IFERROR(J77,0)/100)*VLOOKUP(B77,'1. Articles (SKUs)'!E:N,10,FALSE),"")</f>
        <v/>
      </c>
      <c r="L77" s="14" t="inlineStr"/>
    </row>
    <row r="78">
      <c r="A78" s="9" t="inlineStr">
        <is>
          <t>FT2</t>
        </is>
      </c>
      <c r="B78" s="9" t="inlineStr">
        <is>
          <t>GPFRIOMP52</t>
        </is>
      </c>
      <c r="C78" s="9" t="inlineStr">
        <is>
          <t>SPLIT HEAD QUEEN</t>
        </is>
      </c>
      <c r="D78" s="9" t="inlineStr">
        <is>
          <t>Polybag</t>
        </is>
      </c>
      <c r="E78" s="9" t="inlineStr">
        <is>
          <t>Bag material</t>
        </is>
      </c>
      <c r="F78" s="9" t="inlineStr">
        <is>
          <t>Size – 3.5cm H X 11.5cm W, 0.35cm (Thickness) - PVC  Transparent Polybag with PP Transparent Plastic Hanger on Top, Bag opening at the bottom with automatic adhesive tape.( All PVC Materials need to use NON DEPH Substance to make the bag)</t>
        </is>
      </c>
      <c r="G78" s="9" t="inlineStr"/>
      <c r="H78" s="9" t="inlineStr"/>
      <c r="I78" s="10" t="n">
        <v>1</v>
      </c>
      <c r="J78" s="14" t="n">
        <v>2</v>
      </c>
      <c r="K78" s="13">
        <f>IFERROR(I78*(1+IFERROR(J78,0)/100)*VLOOKUP(B78,'1. Articles (SKUs)'!E:N,10,FALSE),"")</f>
        <v/>
      </c>
      <c r="L78" s="14" t="inlineStr"/>
    </row>
    <row r="79">
      <c r="A79" s="11" t="inlineStr">
        <is>
          <t>FT2</t>
        </is>
      </c>
      <c r="B79" s="11" t="inlineStr">
        <is>
          <t>GPFRIOMP52</t>
        </is>
      </c>
      <c r="C79" s="11" t="inlineStr">
        <is>
          <t>SPLIT HEAD QUEEN</t>
        </is>
      </c>
      <c r="D79" s="11" t="inlineStr">
        <is>
          <t>Insert Card</t>
        </is>
      </c>
      <c r="E79" s="11" t="inlineStr">
        <is>
          <t>Color paper insert material</t>
        </is>
      </c>
      <c r="F79" s="11" t="inlineStr">
        <is>
          <t>Printed Insert quality -  INSERT (“U” Shape) - Insert Material: 250g-300g White Card Paper with Coating both side</t>
        </is>
      </c>
      <c r="G79" s="11" t="inlineStr"/>
      <c r="H79" s="11" t="inlineStr"/>
      <c r="I79" s="10" t="n">
        <v>1</v>
      </c>
      <c r="J79" s="14" t="n">
        <v>2</v>
      </c>
      <c r="K79" s="13">
        <f>IFERROR(I79*(1+IFERROR(J79,0)/100)*VLOOKUP(B79,'1. Articles (SKUs)'!E:N,10,FALSE),"")</f>
        <v/>
      </c>
      <c r="L79" s="14" t="inlineStr"/>
    </row>
    <row r="80">
      <c r="A80" s="9" t="inlineStr">
        <is>
          <t>FT2</t>
        </is>
      </c>
      <c r="B80" s="9" t="inlineStr">
        <is>
          <t>GPFRIOMP52</t>
        </is>
      </c>
      <c r="C80" s="9" t="inlineStr">
        <is>
          <t>SPLIT HEAD QUEEN</t>
        </is>
      </c>
      <c r="D80" s="9" t="inlineStr">
        <is>
          <t>Insert Card</t>
        </is>
      </c>
      <c r="E80" s="9" t="inlineStr">
        <is>
          <t>Color paper insert material</t>
        </is>
      </c>
      <c r="F80" s="9" t="inlineStr">
        <is>
          <t>Printed Insert quality -  INSERT (“U” Shape) - Insert Material: 250g-300g White Card Paper with Coating both side</t>
        </is>
      </c>
      <c r="G80" s="9" t="inlineStr"/>
      <c r="H80" s="9" t="inlineStr"/>
      <c r="I80" s="10" t="n">
        <v>1</v>
      </c>
      <c r="J80" s="14" t="n">
        <v>2</v>
      </c>
      <c r="K80" s="13">
        <f>IFERROR(I80*(1+IFERROR(J80,0)/100)*VLOOKUP(B80,'1. Articles (SKUs)'!E:N,10,FALSE),"")</f>
        <v/>
      </c>
      <c r="L80" s="14" t="inlineStr"/>
    </row>
    <row r="81">
      <c r="A81" s="11" t="inlineStr">
        <is>
          <t>FT2</t>
        </is>
      </c>
      <c r="B81" s="11" t="inlineStr">
        <is>
          <t>GPFRIOMP52</t>
        </is>
      </c>
      <c r="C81" s="11" t="inlineStr">
        <is>
          <t>SPLIT HEAD QUEEN</t>
        </is>
      </c>
      <c r="D81" s="11" t="inlineStr">
        <is>
          <t>Stiffener</t>
        </is>
      </c>
      <c r="E81" s="11" t="inlineStr">
        <is>
          <t>Cardboard material(Stiffener)</t>
        </is>
      </c>
      <c r="F81" s="11" t="inlineStr">
        <is>
          <t>Packaging inside need to put a “U”  1 ply thickness(1 layers with 1 layer corrugated ) in White Cardboard to maintain the shape before putting into the box</t>
        </is>
      </c>
      <c r="G81" s="11" t="inlineStr"/>
      <c r="H81" s="11" t="inlineStr"/>
      <c r="I81" s="10" t="n">
        <v>1</v>
      </c>
      <c r="J81" s="14" t="n">
        <v>2</v>
      </c>
      <c r="K81" s="13">
        <f>IFERROR(I81*(1+IFERROR(J81,0)/100)*VLOOKUP(B81,'1. Articles (SKUs)'!E:N,10,FALSE),"")</f>
        <v/>
      </c>
      <c r="L81" s="14" t="inlineStr"/>
    </row>
    <row r="82">
      <c r="A82" s="9" t="inlineStr">
        <is>
          <t>FT2</t>
        </is>
      </c>
      <c r="B82" s="9" t="inlineStr">
        <is>
          <t>GPFRIOMP52</t>
        </is>
      </c>
      <c r="C82" s="9" t="inlineStr">
        <is>
          <t>SPLIT HEAD QUEEN</t>
        </is>
      </c>
      <c r="D82" s="9" t="inlineStr">
        <is>
          <t>Stiffener</t>
        </is>
      </c>
      <c r="E82" s="9" t="inlineStr">
        <is>
          <t>Cardboard material(Stiffener)</t>
        </is>
      </c>
      <c r="F82" s="9" t="inlineStr">
        <is>
          <t>White square card</t>
        </is>
      </c>
      <c r="G82" s="9" t="inlineStr"/>
      <c r="H82" s="9" t="inlineStr"/>
      <c r="I82" s="10" t="n">
        <v>1</v>
      </c>
      <c r="J82" s="14" t="n">
        <v>2</v>
      </c>
      <c r="K82" s="13">
        <f>IFERROR(I82*(1+IFERROR(J82,0)/100)*VLOOKUP(B82,'1. Articles (SKUs)'!E:N,10,FALSE),"")</f>
        <v/>
      </c>
      <c r="L82" s="14" t="inlineStr"/>
    </row>
    <row r="83">
      <c r="A83" s="11" t="inlineStr">
        <is>
          <t>FT2</t>
        </is>
      </c>
      <c r="B83" s="11" t="inlineStr">
        <is>
          <t>GPFRIOMP79</t>
        </is>
      </c>
      <c r="C83" s="11" t="inlineStr">
        <is>
          <t>SPLIT HEAD KING</t>
        </is>
      </c>
      <c r="D83" s="11" t="inlineStr">
        <is>
          <t>Label</t>
        </is>
      </c>
      <c r="E83" s="11" t="inlineStr">
        <is>
          <t>Non woven label with coating</t>
        </is>
      </c>
      <c r="F83" s="11" t="inlineStr">
        <is>
          <t>3M non woven material with white ground / black color font  (INK CANNOT DISCOLORATION AND STAIN ON PRODUCT)</t>
        </is>
      </c>
      <c r="G83" s="11" t="inlineStr">
        <is>
          <t>9.0cmX13.0cm</t>
        </is>
      </c>
      <c r="H83" s="11" t="inlineStr">
        <is>
          <t>Position of law tag label – Sewing at the middle of short side</t>
        </is>
      </c>
      <c r="I83" s="10" t="n">
        <v>1</v>
      </c>
      <c r="J83" s="14" t="n">
        <v>2</v>
      </c>
      <c r="K83" s="13">
        <f>IFERROR(I83*(1+IFERROR(J83,0)/100)*VLOOKUP(B83,'1. Articles (SKUs)'!E:N,10,FALSE),"")</f>
        <v/>
      </c>
      <c r="L83" s="14" t="inlineStr"/>
    </row>
    <row r="84">
      <c r="A84" s="9" t="inlineStr">
        <is>
          <t>FT2</t>
        </is>
      </c>
      <c r="B84" s="9" t="inlineStr">
        <is>
          <t>GPFRIOMP79</t>
        </is>
      </c>
      <c r="C84" s="9" t="inlineStr">
        <is>
          <t>SPLIT HEAD KING</t>
        </is>
      </c>
      <c r="D84" s="9" t="inlineStr">
        <is>
          <t>Label</t>
        </is>
      </c>
      <c r="E84" s="9" t="inlineStr">
        <is>
          <t>Non woven label with coating</t>
        </is>
      </c>
      <c r="F84" s="9" t="inlineStr">
        <is>
          <t>3M non woven material with white ground / black color font  (INK CANNOT DISCOLORATION AND STAIN ON PRODUCT)</t>
        </is>
      </c>
      <c r="G84" s="9" t="inlineStr">
        <is>
          <t>4.0cmX3.0cm</t>
        </is>
      </c>
      <c r="H84" s="9" t="inlineStr">
        <is>
          <t>Position of law tag label for MP &amp; PP – 3" apart from opening (Inside)</t>
        </is>
      </c>
      <c r="I84" s="10" t="n">
        <v>1</v>
      </c>
      <c r="J84" s="14" t="n">
        <v>2</v>
      </c>
      <c r="K84" s="13">
        <f>IFERROR(I84*(1+IFERROR(J84,0)/100)*VLOOKUP(B84,'1. Articles (SKUs)'!E:N,10,FALSE),"")</f>
        <v/>
      </c>
      <c r="L84" s="14" t="inlineStr"/>
    </row>
    <row r="85">
      <c r="A85" s="11" t="inlineStr">
        <is>
          <t>FT2</t>
        </is>
      </c>
      <c r="B85" s="11" t="inlineStr">
        <is>
          <t>GPFRIOMP79</t>
        </is>
      </c>
      <c r="C85" s="11" t="inlineStr">
        <is>
          <t>SPLIT HEAD KING</t>
        </is>
      </c>
      <c r="D85" s="11" t="inlineStr">
        <is>
          <t>Packaging</t>
        </is>
      </c>
      <c r="E85" s="11" t="inlineStr">
        <is>
          <t>Packaging type</t>
        </is>
      </c>
      <c r="F85" s="11" t="inlineStr">
        <is>
          <t>Color paper insert with vinyl PVC Bag with white bound seam &amp; inside cardboard wrapped by product(Stiffener)</t>
        </is>
      </c>
      <c r="G85" s="11" t="inlineStr"/>
      <c r="H85" s="11" t="inlineStr"/>
      <c r="I85" s="10" t="n">
        <v>1</v>
      </c>
      <c r="J85" s="14" t="n">
        <v>2</v>
      </c>
      <c r="K85" s="13">
        <f>IFERROR(I85*(1+IFERROR(J85,0)/100)*VLOOKUP(B85,'1. Articles (SKUs)'!E:N,10,FALSE),"")</f>
        <v/>
      </c>
      <c r="L85" s="14" t="inlineStr"/>
    </row>
    <row r="86">
      <c r="A86" s="9" t="inlineStr">
        <is>
          <t>FT2</t>
        </is>
      </c>
      <c r="B86" s="9" t="inlineStr">
        <is>
          <t>GPFRIOMP79</t>
        </is>
      </c>
      <c r="C86" s="9" t="inlineStr">
        <is>
          <t>SPLIT HEAD KING</t>
        </is>
      </c>
      <c r="D86" s="9" t="inlineStr">
        <is>
          <t>Polybag</t>
        </is>
      </c>
      <c r="E86" s="9" t="inlineStr">
        <is>
          <t>Bag material</t>
        </is>
      </c>
      <c r="F86" s="9" t="inlineStr">
        <is>
          <t>12S (Thickness)- Transparent PVC Bag with 7S(Thickness) White PVC White Binding all around seam and 3# Nylon Coil White Zipper(No Hanger Loop on top)</t>
        </is>
      </c>
      <c r="G86" s="9" t="inlineStr"/>
      <c r="H86" s="9" t="inlineStr"/>
      <c r="I86" s="10" t="n">
        <v>1</v>
      </c>
      <c r="J86" s="14" t="n">
        <v>2</v>
      </c>
      <c r="K86" s="13">
        <f>IFERROR(I86*(1+IFERROR(J86,0)/100)*VLOOKUP(B86,'1. Articles (SKUs)'!E:N,10,FALSE),"")</f>
        <v/>
      </c>
      <c r="L86" s="14" t="inlineStr"/>
    </row>
    <row r="87">
      <c r="A87" s="11" t="inlineStr">
        <is>
          <t>FT2</t>
        </is>
      </c>
      <c r="B87" s="11" t="inlineStr">
        <is>
          <t>GPFRIOMP79</t>
        </is>
      </c>
      <c r="C87" s="11" t="inlineStr">
        <is>
          <t>SPLIT HEAD KING</t>
        </is>
      </c>
      <c r="D87" s="11" t="inlineStr">
        <is>
          <t>Polybag</t>
        </is>
      </c>
      <c r="E87" s="11" t="inlineStr">
        <is>
          <t>Bag material</t>
        </is>
      </c>
      <c r="F87" s="11" t="inlineStr">
        <is>
          <t>Size – 3.5cm H X 11.5cm W, 0.35cm (Thickness) - PVC  Transparent Polybag with PP Transparent Plastic Hanger on Top, Bag opening at the bottom with automatic adhesive tape.( All PVC Materials need to use NON DEPH Substance to make the bag)</t>
        </is>
      </c>
      <c r="G87" s="11" t="inlineStr"/>
      <c r="H87" s="11" t="inlineStr"/>
      <c r="I87" s="10" t="n">
        <v>1</v>
      </c>
      <c r="J87" s="14" t="n">
        <v>2</v>
      </c>
      <c r="K87" s="13">
        <f>IFERROR(I87*(1+IFERROR(J87,0)/100)*VLOOKUP(B87,'1. Articles (SKUs)'!E:N,10,FALSE),"")</f>
        <v/>
      </c>
      <c r="L87" s="14" t="inlineStr"/>
    </row>
    <row r="88">
      <c r="A88" s="9" t="inlineStr">
        <is>
          <t>FT2</t>
        </is>
      </c>
      <c r="B88" s="9" t="inlineStr">
        <is>
          <t>GPFRIOMP79</t>
        </is>
      </c>
      <c r="C88" s="9" t="inlineStr">
        <is>
          <t>SPLIT HEAD KING</t>
        </is>
      </c>
      <c r="D88" s="9" t="inlineStr">
        <is>
          <t>Insert Card</t>
        </is>
      </c>
      <c r="E88" s="9" t="inlineStr">
        <is>
          <t>Color paper insert material</t>
        </is>
      </c>
      <c r="F88" s="9" t="inlineStr">
        <is>
          <t>Printed Insert quality -  INSERT (“U” Shape) - Insert Material: 250g-300g White Card Paper with Coating both side</t>
        </is>
      </c>
      <c r="G88" s="9" t="inlineStr"/>
      <c r="H88" s="9" t="inlineStr"/>
      <c r="I88" s="10" t="n">
        <v>1</v>
      </c>
      <c r="J88" s="14" t="n">
        <v>2</v>
      </c>
      <c r="K88" s="13">
        <f>IFERROR(I88*(1+IFERROR(J88,0)/100)*VLOOKUP(B88,'1. Articles (SKUs)'!E:N,10,FALSE),"")</f>
        <v/>
      </c>
      <c r="L88" s="14" t="inlineStr"/>
    </row>
    <row r="89">
      <c r="A89" s="11" t="inlineStr">
        <is>
          <t>FT2</t>
        </is>
      </c>
      <c r="B89" s="11" t="inlineStr">
        <is>
          <t>GPFRIOMP79</t>
        </is>
      </c>
      <c r="C89" s="11" t="inlineStr">
        <is>
          <t>SPLIT HEAD KING</t>
        </is>
      </c>
      <c r="D89" s="11" t="inlineStr">
        <is>
          <t>Insert Card</t>
        </is>
      </c>
      <c r="E89" s="11" t="inlineStr">
        <is>
          <t>Color paper insert material</t>
        </is>
      </c>
      <c r="F89" s="11" t="inlineStr">
        <is>
          <t>Printed Insert quality -  INSERT (“U” Shape) - Insert Material: 250g-300g White Card Paper with Coating both side</t>
        </is>
      </c>
      <c r="G89" s="11" t="inlineStr"/>
      <c r="H89" s="11" t="inlineStr"/>
      <c r="I89" s="10" t="n">
        <v>1</v>
      </c>
      <c r="J89" s="14" t="n">
        <v>2</v>
      </c>
      <c r="K89" s="13">
        <f>IFERROR(I89*(1+IFERROR(J89,0)/100)*VLOOKUP(B89,'1. Articles (SKUs)'!E:N,10,FALSE),"")</f>
        <v/>
      </c>
      <c r="L89" s="14" t="inlineStr"/>
    </row>
    <row r="90">
      <c r="A90" s="9" t="inlineStr">
        <is>
          <t>FT2</t>
        </is>
      </c>
      <c r="B90" s="9" t="inlineStr">
        <is>
          <t>GPFRIOMP79</t>
        </is>
      </c>
      <c r="C90" s="9" t="inlineStr">
        <is>
          <t>SPLIT HEAD KING</t>
        </is>
      </c>
      <c r="D90" s="9" t="inlineStr">
        <is>
          <t>Stiffener</t>
        </is>
      </c>
      <c r="E90" s="9" t="inlineStr">
        <is>
          <t>Cardboard material(Stiffener)</t>
        </is>
      </c>
      <c r="F90" s="9" t="inlineStr">
        <is>
          <t>Packaging inside need to put a “U”  1 ply thickness(1 layers with 1 layer corrugated ) in White Cardboard to maintain the shape before putting into the box</t>
        </is>
      </c>
      <c r="G90" s="9" t="inlineStr"/>
      <c r="H90" s="9" t="inlineStr"/>
      <c r="I90" s="10" t="n">
        <v>1</v>
      </c>
      <c r="J90" s="14" t="n">
        <v>2</v>
      </c>
      <c r="K90" s="13">
        <f>IFERROR(I90*(1+IFERROR(J90,0)/100)*VLOOKUP(B90,'1. Articles (SKUs)'!E:N,10,FALSE),"")</f>
        <v/>
      </c>
      <c r="L90" s="14" t="inlineStr"/>
    </row>
    <row r="91">
      <c r="A91" s="11" t="inlineStr">
        <is>
          <t>FT2</t>
        </is>
      </c>
      <c r="B91" s="11" t="inlineStr">
        <is>
          <t>GPFRIOMP79</t>
        </is>
      </c>
      <c r="C91" s="11" t="inlineStr">
        <is>
          <t>SPLIT HEAD KING</t>
        </is>
      </c>
      <c r="D91" s="11" t="inlineStr">
        <is>
          <t>Stiffener</t>
        </is>
      </c>
      <c r="E91" s="11" t="inlineStr">
        <is>
          <t>Cardboard material(Stiffener)</t>
        </is>
      </c>
      <c r="F91" s="11" t="inlineStr">
        <is>
          <t>White square card</t>
        </is>
      </c>
      <c r="G91" s="11" t="inlineStr"/>
      <c r="H91" s="11" t="inlineStr"/>
      <c r="I91" s="10" t="n">
        <v>1</v>
      </c>
      <c r="J91" s="14" t="n">
        <v>2</v>
      </c>
      <c r="K91" s="13">
        <f>IFERROR(I91*(1+IFERROR(J91,0)/100)*VLOOKUP(B91,'1. Articles (SKUs)'!E:N,10,FALSE),"")</f>
        <v/>
      </c>
      <c r="L91" s="14" t="inlineStr"/>
    </row>
    <row r="92">
      <c r="A92" s="9" t="inlineStr">
        <is>
          <t>FT2</t>
        </is>
      </c>
      <c r="B92" s="9" t="inlineStr">
        <is>
          <t>GPFRIOPPQ</t>
        </is>
      </c>
      <c r="C92" s="9" t="inlineStr">
        <is>
          <t>QUEEN PILLOW PROTECTOR</t>
        </is>
      </c>
      <c r="D92" s="9" t="inlineStr">
        <is>
          <t>Label</t>
        </is>
      </c>
      <c r="E92" s="9" t="inlineStr">
        <is>
          <t>Non woven label with coating</t>
        </is>
      </c>
      <c r="F92" s="9" t="inlineStr">
        <is>
          <t>3M non woven material with white ground / black color font  (INK CANNOT DISCOLORATION AND STAIN ON PRODUCT)</t>
        </is>
      </c>
      <c r="G92" s="9" t="inlineStr">
        <is>
          <t>9.0cmX13.0cm</t>
        </is>
      </c>
      <c r="H92" s="9" t="inlineStr">
        <is>
          <t>Position of law tag label – Sewing at the middle of short side</t>
        </is>
      </c>
      <c r="I92" s="10" t="n">
        <v>1</v>
      </c>
      <c r="J92" s="14" t="n">
        <v>2</v>
      </c>
      <c r="K92" s="13">
        <f>IFERROR(I92*(1+IFERROR(J92,0)/100)*VLOOKUP(B92,'1. Articles (SKUs)'!E:N,10,FALSE),"")</f>
        <v/>
      </c>
      <c r="L92" s="14" t="inlineStr"/>
    </row>
    <row r="93">
      <c r="A93" s="11" t="inlineStr">
        <is>
          <t>FT2</t>
        </is>
      </c>
      <c r="B93" s="11" t="inlineStr">
        <is>
          <t>GPFRIOPPQ</t>
        </is>
      </c>
      <c r="C93" s="11" t="inlineStr">
        <is>
          <t>QUEEN PILLOW PROTECTOR</t>
        </is>
      </c>
      <c r="D93" s="11" t="inlineStr">
        <is>
          <t>Label</t>
        </is>
      </c>
      <c r="E93" s="11" t="inlineStr">
        <is>
          <t>Non woven label with coating</t>
        </is>
      </c>
      <c r="F93" s="11" t="inlineStr">
        <is>
          <t>3M non woven material with white ground / black color font  (INK CANNOT DISCOLORATION AND STAIN ON PRODUCT)</t>
        </is>
      </c>
      <c r="G93" s="11" t="inlineStr">
        <is>
          <t>4.0cmX3.0cm</t>
        </is>
      </c>
      <c r="H93" s="11" t="inlineStr">
        <is>
          <t>Position of law tag label for MP &amp; PP – 3" apart from opening (Inside)</t>
        </is>
      </c>
      <c r="I93" s="10" t="n">
        <v>1</v>
      </c>
      <c r="J93" s="14" t="n">
        <v>2</v>
      </c>
      <c r="K93" s="13">
        <f>IFERROR(I93*(1+IFERROR(J93,0)/100)*VLOOKUP(B93,'1. Articles (SKUs)'!E:N,10,FALSE),"")</f>
        <v/>
      </c>
      <c r="L93" s="14" t="inlineStr"/>
    </row>
    <row r="94">
      <c r="A94" s="9" t="inlineStr">
        <is>
          <t>FT2</t>
        </is>
      </c>
      <c r="B94" s="9" t="inlineStr">
        <is>
          <t>GPFRIOPPQ</t>
        </is>
      </c>
      <c r="C94" s="9" t="inlineStr">
        <is>
          <t>QUEEN PILLOW PROTECTOR</t>
        </is>
      </c>
      <c r="D94" s="9" t="inlineStr">
        <is>
          <t>Packaging</t>
        </is>
      </c>
      <c r="E94" s="9" t="inlineStr">
        <is>
          <t>Packaging type</t>
        </is>
      </c>
      <c r="F94" s="9" t="inlineStr">
        <is>
          <t>Color paper insert with vinyl PVC Bag with white bound seam &amp; inside cardboard wrapped by product(Stiffener)</t>
        </is>
      </c>
      <c r="G94" s="9" t="inlineStr"/>
      <c r="H94" s="9" t="inlineStr"/>
      <c r="I94" s="10" t="n">
        <v>1</v>
      </c>
      <c r="J94" s="14" t="n">
        <v>2</v>
      </c>
      <c r="K94" s="13">
        <f>IFERROR(I94*(1+IFERROR(J94,0)/100)*VLOOKUP(B94,'1. Articles (SKUs)'!E:N,10,FALSE),"")</f>
        <v/>
      </c>
      <c r="L94" s="14" t="inlineStr"/>
    </row>
    <row r="95">
      <c r="A95" s="11" t="inlineStr">
        <is>
          <t>FT2</t>
        </is>
      </c>
      <c r="B95" s="11" t="inlineStr">
        <is>
          <t>GPFRIOPPQ</t>
        </is>
      </c>
      <c r="C95" s="11" t="inlineStr">
        <is>
          <t>QUEEN PILLOW PROTECTOR</t>
        </is>
      </c>
      <c r="D95" s="11" t="inlineStr">
        <is>
          <t>Polybag</t>
        </is>
      </c>
      <c r="E95" s="11" t="inlineStr">
        <is>
          <t>Bag material</t>
        </is>
      </c>
      <c r="F95" s="11" t="inlineStr">
        <is>
          <t>12S (Thickness)- Transparent PVC Bag with 7S(Thickness) White PVC White Binding all around seam and 3# Nylon Coil White Zipper(No Hanger Loop on top)</t>
        </is>
      </c>
      <c r="G95" s="11" t="inlineStr"/>
      <c r="H95" s="11" t="inlineStr"/>
      <c r="I95" s="10" t="n">
        <v>1</v>
      </c>
      <c r="J95" s="14" t="n">
        <v>2</v>
      </c>
      <c r="K95" s="13">
        <f>IFERROR(I95*(1+IFERROR(J95,0)/100)*VLOOKUP(B95,'1. Articles (SKUs)'!E:N,10,FALSE),"")</f>
        <v/>
      </c>
      <c r="L95" s="14" t="inlineStr"/>
    </row>
    <row r="96">
      <c r="A96" s="9" t="inlineStr">
        <is>
          <t>FT2</t>
        </is>
      </c>
      <c r="B96" s="9" t="inlineStr">
        <is>
          <t>GPFRIOPPQ</t>
        </is>
      </c>
      <c r="C96" s="9" t="inlineStr">
        <is>
          <t>QUEEN PILLOW PROTECTOR</t>
        </is>
      </c>
      <c r="D96" s="9" t="inlineStr">
        <is>
          <t>Polybag</t>
        </is>
      </c>
      <c r="E96" s="9" t="inlineStr">
        <is>
          <t>Bag material</t>
        </is>
      </c>
      <c r="F96" s="9" t="inlineStr">
        <is>
          <t>Size – 3.5cm H X 11.5cm W, 0.35cm (Thickness) - PVC  Transparent Polybag with PP Transparent Plastic Hanger on Top, Bag opening at the bottom with automatic adhesive tape.( All PVC Materials need to use NON DEPH Substance to make the bag)</t>
        </is>
      </c>
      <c r="G96" s="9" t="inlineStr"/>
      <c r="H96" s="9" t="inlineStr"/>
      <c r="I96" s="10" t="n">
        <v>1</v>
      </c>
      <c r="J96" s="14" t="n">
        <v>2</v>
      </c>
      <c r="K96" s="13">
        <f>IFERROR(I96*(1+IFERROR(J96,0)/100)*VLOOKUP(B96,'1. Articles (SKUs)'!E:N,10,FALSE),"")</f>
        <v/>
      </c>
      <c r="L96" s="14" t="inlineStr"/>
    </row>
    <row r="97">
      <c r="A97" s="11" t="inlineStr">
        <is>
          <t>FT2</t>
        </is>
      </c>
      <c r="B97" s="11" t="inlineStr">
        <is>
          <t>GPFRIOPPQ</t>
        </is>
      </c>
      <c r="C97" s="11" t="inlineStr">
        <is>
          <t>QUEEN PILLOW PROTECTOR</t>
        </is>
      </c>
      <c r="D97" s="11" t="inlineStr">
        <is>
          <t>Insert Card</t>
        </is>
      </c>
      <c r="E97" s="11" t="inlineStr">
        <is>
          <t>Color paper insert material</t>
        </is>
      </c>
      <c r="F97" s="11" t="inlineStr">
        <is>
          <t>Printed Insert quality -  INSERT (“U” Shape) - Insert Material: 250g-300g White Card Paper with Coating both side</t>
        </is>
      </c>
      <c r="G97" s="11" t="inlineStr"/>
      <c r="H97" s="11" t="inlineStr"/>
      <c r="I97" s="10" t="n">
        <v>1</v>
      </c>
      <c r="J97" s="14" t="n">
        <v>2</v>
      </c>
      <c r="K97" s="13">
        <f>IFERROR(I97*(1+IFERROR(J97,0)/100)*VLOOKUP(B97,'1. Articles (SKUs)'!E:N,10,FALSE),"")</f>
        <v/>
      </c>
      <c r="L97" s="14" t="inlineStr"/>
    </row>
    <row r="98">
      <c r="A98" s="9" t="inlineStr">
        <is>
          <t>FT2</t>
        </is>
      </c>
      <c r="B98" s="9" t="inlineStr">
        <is>
          <t>GPFRIOPPQ</t>
        </is>
      </c>
      <c r="C98" s="9" t="inlineStr">
        <is>
          <t>QUEEN PILLOW PROTECTOR</t>
        </is>
      </c>
      <c r="D98" s="9" t="inlineStr">
        <is>
          <t>Insert Card</t>
        </is>
      </c>
      <c r="E98" s="9" t="inlineStr">
        <is>
          <t>Color paper insert material</t>
        </is>
      </c>
      <c r="F98" s="9" t="inlineStr">
        <is>
          <t>Printed Insert quality -  INSERT (“U” Shape) - Insert Material: 250g-300g White Card Paper with Coating both side</t>
        </is>
      </c>
      <c r="G98" s="9" t="inlineStr"/>
      <c r="H98" s="9" t="inlineStr"/>
      <c r="I98" s="10" t="n">
        <v>1</v>
      </c>
      <c r="J98" s="14" t="n">
        <v>2</v>
      </c>
      <c r="K98" s="13">
        <f>IFERROR(I98*(1+IFERROR(J98,0)/100)*VLOOKUP(B98,'1. Articles (SKUs)'!E:N,10,FALSE),"")</f>
        <v/>
      </c>
      <c r="L98" s="14" t="inlineStr"/>
    </row>
    <row r="99">
      <c r="A99" s="11" t="inlineStr">
        <is>
          <t>FT2</t>
        </is>
      </c>
      <c r="B99" s="11" t="inlineStr">
        <is>
          <t>GPFRIOPPQ</t>
        </is>
      </c>
      <c r="C99" s="11" t="inlineStr">
        <is>
          <t>QUEEN PILLOW PROTECTOR</t>
        </is>
      </c>
      <c r="D99" s="11" t="inlineStr">
        <is>
          <t>Stiffener</t>
        </is>
      </c>
      <c r="E99" s="11" t="inlineStr">
        <is>
          <t>Cardboard material(Stiffener)</t>
        </is>
      </c>
      <c r="F99" s="11" t="inlineStr">
        <is>
          <t>Packaging inside need to put a “U”  1 ply thickness(1 layers with 1 layer corrugated ) in White Cardboard to maintain the shape before putting into the box</t>
        </is>
      </c>
      <c r="G99" s="11" t="inlineStr"/>
      <c r="H99" s="11" t="inlineStr"/>
      <c r="I99" s="10" t="n">
        <v>1</v>
      </c>
      <c r="J99" s="14" t="n">
        <v>2</v>
      </c>
      <c r="K99" s="13">
        <f>IFERROR(I99*(1+IFERROR(J99,0)/100)*VLOOKUP(B99,'1. Articles (SKUs)'!E:N,10,FALSE),"")</f>
        <v/>
      </c>
      <c r="L99" s="14" t="inlineStr"/>
    </row>
    <row r="100">
      <c r="A100" s="9" t="inlineStr">
        <is>
          <t>FT2</t>
        </is>
      </c>
      <c r="B100" s="9" t="inlineStr">
        <is>
          <t>GPFRIOPPQ</t>
        </is>
      </c>
      <c r="C100" s="9" t="inlineStr">
        <is>
          <t>QUEEN PILLOW PROTECTOR</t>
        </is>
      </c>
      <c r="D100" s="9" t="inlineStr">
        <is>
          <t>Stiffener</t>
        </is>
      </c>
      <c r="E100" s="9" t="inlineStr">
        <is>
          <t>Cardboard material(Stiffener)</t>
        </is>
      </c>
      <c r="F100" s="9" t="inlineStr">
        <is>
          <t>White square card</t>
        </is>
      </c>
      <c r="G100" s="9" t="inlineStr"/>
      <c r="H100" s="9" t="inlineStr"/>
      <c r="I100" s="10" t="n">
        <v>1</v>
      </c>
      <c r="J100" s="14" t="n">
        <v>2</v>
      </c>
      <c r="K100" s="13">
        <f>IFERROR(I100*(1+IFERROR(J100,0)/100)*VLOOKUP(B100,'1. Articles (SKUs)'!E:N,10,FALSE),"")</f>
        <v/>
      </c>
      <c r="L100" s="14" t="inlineStr"/>
    </row>
    <row r="101">
      <c r="A101" s="11" t="inlineStr">
        <is>
          <t>FT2</t>
        </is>
      </c>
      <c r="B101" s="11" t="inlineStr">
        <is>
          <t>GPFRIOPPk</t>
        </is>
      </c>
      <c r="C101" s="11" t="inlineStr">
        <is>
          <t>KING PILLOW PROTECTOR</t>
        </is>
      </c>
      <c r="D101" s="11" t="inlineStr">
        <is>
          <t>Label</t>
        </is>
      </c>
      <c r="E101" s="11" t="inlineStr">
        <is>
          <t>Non woven label with coating</t>
        </is>
      </c>
      <c r="F101" s="11" t="inlineStr">
        <is>
          <t>3M non woven material with white ground / black color font  (INK CANNOT DISCOLORATION AND STAIN ON PRODUCT)</t>
        </is>
      </c>
      <c r="G101" s="11" t="inlineStr">
        <is>
          <t>9.0cmX13.0cm</t>
        </is>
      </c>
      <c r="H101" s="11" t="inlineStr">
        <is>
          <t>Position of law tag label – Sewing at the middle of short side</t>
        </is>
      </c>
      <c r="I101" s="10" t="n">
        <v>1</v>
      </c>
      <c r="J101" s="14" t="n">
        <v>2</v>
      </c>
      <c r="K101" s="13">
        <f>IFERROR(I101*(1+IFERROR(J101,0)/100)*VLOOKUP(B101,'1. Articles (SKUs)'!E:N,10,FALSE),"")</f>
        <v/>
      </c>
      <c r="L101" s="14" t="inlineStr"/>
    </row>
    <row r="102">
      <c r="A102" s="9" t="inlineStr">
        <is>
          <t>FT2</t>
        </is>
      </c>
      <c r="B102" s="9" t="inlineStr">
        <is>
          <t>GPFRIOPPk</t>
        </is>
      </c>
      <c r="C102" s="9" t="inlineStr">
        <is>
          <t>KING PILLOW PROTECTOR</t>
        </is>
      </c>
      <c r="D102" s="9" t="inlineStr">
        <is>
          <t>Label</t>
        </is>
      </c>
      <c r="E102" s="9" t="inlineStr">
        <is>
          <t>Non woven label with coating</t>
        </is>
      </c>
      <c r="F102" s="9" t="inlineStr">
        <is>
          <t>3M non woven material with white ground / black color font  (INK CANNOT DISCOLORATION AND STAIN ON PRODUCT)</t>
        </is>
      </c>
      <c r="G102" s="9" t="inlineStr">
        <is>
          <t>4.0cmX3.0cm</t>
        </is>
      </c>
      <c r="H102" s="9" t="inlineStr">
        <is>
          <t>Position of law tag label for MP &amp; PP – 3" apart from opening (Inside)</t>
        </is>
      </c>
      <c r="I102" s="10" t="n">
        <v>1</v>
      </c>
      <c r="J102" s="14" t="n">
        <v>2</v>
      </c>
      <c r="K102" s="13">
        <f>IFERROR(I102*(1+IFERROR(J102,0)/100)*VLOOKUP(B102,'1. Articles (SKUs)'!E:N,10,FALSE),"")</f>
        <v/>
      </c>
      <c r="L102" s="14" t="inlineStr"/>
    </row>
    <row r="103">
      <c r="A103" s="11" t="inlineStr">
        <is>
          <t>FT2</t>
        </is>
      </c>
      <c r="B103" s="11" t="inlineStr">
        <is>
          <t>GPFRIOPPk</t>
        </is>
      </c>
      <c r="C103" s="11" t="inlineStr">
        <is>
          <t>KING PILLOW PROTECTOR</t>
        </is>
      </c>
      <c r="D103" s="11" t="inlineStr">
        <is>
          <t>Packaging</t>
        </is>
      </c>
      <c r="E103" s="11" t="inlineStr">
        <is>
          <t>Packaging type</t>
        </is>
      </c>
      <c r="F103" s="11" t="inlineStr">
        <is>
          <t>Color paper insert with vinyl PVC Bag with white bound seam &amp; inside cardboard wrapped by product(Stiffener)</t>
        </is>
      </c>
      <c r="G103" s="11" t="inlineStr"/>
      <c r="H103" s="11" t="inlineStr"/>
      <c r="I103" s="10" t="n">
        <v>1</v>
      </c>
      <c r="J103" s="14" t="n">
        <v>2</v>
      </c>
      <c r="K103" s="13">
        <f>IFERROR(I103*(1+IFERROR(J103,0)/100)*VLOOKUP(B103,'1. Articles (SKUs)'!E:N,10,FALSE),"")</f>
        <v/>
      </c>
      <c r="L103" s="14" t="inlineStr"/>
    </row>
    <row r="104">
      <c r="A104" s="9" t="inlineStr">
        <is>
          <t>FT2</t>
        </is>
      </c>
      <c r="B104" s="9" t="inlineStr">
        <is>
          <t>GPFRIOPPk</t>
        </is>
      </c>
      <c r="C104" s="9" t="inlineStr">
        <is>
          <t>KING PILLOW PROTECTOR</t>
        </is>
      </c>
      <c r="D104" s="9" t="inlineStr">
        <is>
          <t>Polybag</t>
        </is>
      </c>
      <c r="E104" s="9" t="inlineStr">
        <is>
          <t>Bag material</t>
        </is>
      </c>
      <c r="F104" s="9" t="inlineStr">
        <is>
          <t>12S (Thickness)- Transparent PVC Bag with 7S(Thickness) White PVC White Binding all around seam and 3# Nylon Coil White Zipper(No Hanger Loop on top)</t>
        </is>
      </c>
      <c r="G104" s="9" t="inlineStr"/>
      <c r="H104" s="9" t="inlineStr"/>
      <c r="I104" s="10" t="n">
        <v>1</v>
      </c>
      <c r="J104" s="14" t="n">
        <v>2</v>
      </c>
      <c r="K104" s="13">
        <f>IFERROR(I104*(1+IFERROR(J104,0)/100)*VLOOKUP(B104,'1. Articles (SKUs)'!E:N,10,FALSE),"")</f>
        <v/>
      </c>
      <c r="L104" s="14" t="inlineStr"/>
    </row>
    <row r="105">
      <c r="A105" s="11" t="inlineStr">
        <is>
          <t>FT2</t>
        </is>
      </c>
      <c r="B105" s="11" t="inlineStr">
        <is>
          <t>GPFRIOPPk</t>
        </is>
      </c>
      <c r="C105" s="11" t="inlineStr">
        <is>
          <t>KING PILLOW PROTECTOR</t>
        </is>
      </c>
      <c r="D105" s="11" t="inlineStr">
        <is>
          <t>Polybag</t>
        </is>
      </c>
      <c r="E105" s="11" t="inlineStr">
        <is>
          <t>Bag material</t>
        </is>
      </c>
      <c r="F105" s="11" t="inlineStr">
        <is>
          <t>Size – 3.5cm H X 11.5cm W, 0.35cm (Thickness) - PVC  Transparent Polybag with PP Transparent Plastic Hanger on Top, Bag opening at the bottom with automatic adhesive tape.( All PVC Materials need to use NON DEPH Substance to make the bag)</t>
        </is>
      </c>
      <c r="G105" s="11" t="inlineStr"/>
      <c r="H105" s="11" t="inlineStr"/>
      <c r="I105" s="10" t="n">
        <v>1</v>
      </c>
      <c r="J105" s="14" t="n">
        <v>2</v>
      </c>
      <c r="K105" s="13">
        <f>IFERROR(I105*(1+IFERROR(J105,0)/100)*VLOOKUP(B105,'1. Articles (SKUs)'!E:N,10,FALSE),"")</f>
        <v/>
      </c>
      <c r="L105" s="14" t="inlineStr"/>
    </row>
    <row r="106">
      <c r="A106" s="9" t="inlineStr">
        <is>
          <t>FT2</t>
        </is>
      </c>
      <c r="B106" s="9" t="inlineStr">
        <is>
          <t>GPFRIOPPk</t>
        </is>
      </c>
      <c r="C106" s="9" t="inlineStr">
        <is>
          <t>KING PILLOW PROTECTOR</t>
        </is>
      </c>
      <c r="D106" s="9" t="inlineStr">
        <is>
          <t>Insert Card</t>
        </is>
      </c>
      <c r="E106" s="9" t="inlineStr">
        <is>
          <t>Color paper insert material</t>
        </is>
      </c>
      <c r="F106" s="9" t="inlineStr">
        <is>
          <t>Printed Insert quality -  INSERT (“U” Shape) - Insert Material: 250g-300g White Card Paper with Coating both side</t>
        </is>
      </c>
      <c r="G106" s="9" t="inlineStr"/>
      <c r="H106" s="9" t="inlineStr"/>
      <c r="I106" s="10" t="n">
        <v>1</v>
      </c>
      <c r="J106" s="14" t="n">
        <v>2</v>
      </c>
      <c r="K106" s="13">
        <f>IFERROR(I106*(1+IFERROR(J106,0)/100)*VLOOKUP(B106,'1. Articles (SKUs)'!E:N,10,FALSE),"")</f>
        <v/>
      </c>
      <c r="L106" s="14" t="inlineStr"/>
    </row>
    <row r="107">
      <c r="A107" s="11" t="inlineStr">
        <is>
          <t>FT2</t>
        </is>
      </c>
      <c r="B107" s="11" t="inlineStr">
        <is>
          <t>GPFRIOPPk</t>
        </is>
      </c>
      <c r="C107" s="11" t="inlineStr">
        <is>
          <t>KING PILLOW PROTECTOR</t>
        </is>
      </c>
      <c r="D107" s="11" t="inlineStr">
        <is>
          <t>Insert Card</t>
        </is>
      </c>
      <c r="E107" s="11" t="inlineStr">
        <is>
          <t>Color paper insert material</t>
        </is>
      </c>
      <c r="F107" s="11" t="inlineStr">
        <is>
          <t>Printed Insert quality -  INSERT (“U” Shape) - Insert Material: 250g-300g White Card Paper with Coating both side</t>
        </is>
      </c>
      <c r="G107" s="11" t="inlineStr"/>
      <c r="H107" s="11" t="inlineStr"/>
      <c r="I107" s="10" t="n">
        <v>1</v>
      </c>
      <c r="J107" s="14" t="n">
        <v>2</v>
      </c>
      <c r="K107" s="13">
        <f>IFERROR(I107*(1+IFERROR(J107,0)/100)*VLOOKUP(B107,'1. Articles (SKUs)'!E:N,10,FALSE),"")</f>
        <v/>
      </c>
      <c r="L107" s="14" t="inlineStr"/>
    </row>
    <row r="108">
      <c r="A108" s="9" t="inlineStr">
        <is>
          <t>FT2</t>
        </is>
      </c>
      <c r="B108" s="9" t="inlineStr">
        <is>
          <t>GPFRIOPPk</t>
        </is>
      </c>
      <c r="C108" s="9" t="inlineStr">
        <is>
          <t>KING PILLOW PROTECTOR</t>
        </is>
      </c>
      <c r="D108" s="9" t="inlineStr">
        <is>
          <t>Stiffener</t>
        </is>
      </c>
      <c r="E108" s="9" t="inlineStr">
        <is>
          <t>Cardboard material(Stiffener)</t>
        </is>
      </c>
      <c r="F108" s="9" t="inlineStr">
        <is>
          <t>Packaging inside need to put a “U”  1 ply thickness(1 layers with 1 layer corrugated ) in White Cardboard to maintain the shape before putting into the box</t>
        </is>
      </c>
      <c r="G108" s="9" t="inlineStr"/>
      <c r="H108" s="9" t="inlineStr"/>
      <c r="I108" s="10" t="n">
        <v>1</v>
      </c>
      <c r="J108" s="14" t="n">
        <v>2</v>
      </c>
      <c r="K108" s="13">
        <f>IFERROR(I108*(1+IFERROR(J108,0)/100)*VLOOKUP(B108,'1. Articles (SKUs)'!E:N,10,FALSE),"")</f>
        <v/>
      </c>
      <c r="L108" s="14" t="inlineStr"/>
    </row>
    <row r="109">
      <c r="A109" s="11" t="inlineStr">
        <is>
          <t>FT2</t>
        </is>
      </c>
      <c r="B109" s="11" t="inlineStr">
        <is>
          <t>GPFRIOPPk</t>
        </is>
      </c>
      <c r="C109" s="11" t="inlineStr">
        <is>
          <t>KING PILLOW PROTECTOR</t>
        </is>
      </c>
      <c r="D109" s="11" t="inlineStr">
        <is>
          <t>Stiffener</t>
        </is>
      </c>
      <c r="E109" s="11" t="inlineStr">
        <is>
          <t>Cardboard material(Stiffener)</t>
        </is>
      </c>
      <c r="F109" s="11" t="inlineStr">
        <is>
          <t>White square card</t>
        </is>
      </c>
      <c r="G109" s="11" t="inlineStr"/>
      <c r="H109" s="11" t="inlineStr"/>
      <c r="I109" s="10" t="n">
        <v>1</v>
      </c>
      <c r="J109" s="14" t="n">
        <v>2</v>
      </c>
      <c r="K109" s="13">
        <f>IFERROR(I109*(1+IFERROR(J109,0)/100)*VLOOKUP(B109,'1. Articles (SKUs)'!E:N,10,FALSE),"")</f>
        <v/>
      </c>
      <c r="L109" s="14" t="inlineStr"/>
    </row>
    <row r="110">
      <c r="A110" s="9" t="inlineStr">
        <is>
          <t>FT4</t>
        </is>
      </c>
      <c r="B110" s="9" t="inlineStr">
        <is>
          <t>GPMP33</t>
        </is>
      </c>
      <c r="C110" s="9" t="inlineStr">
        <is>
          <t>TWIN</t>
        </is>
      </c>
      <c r="D110" s="9" t="inlineStr">
        <is>
          <t>Label</t>
        </is>
      </c>
      <c r="E110" s="9" t="inlineStr">
        <is>
          <t>Non woven label with coating</t>
        </is>
      </c>
      <c r="F110" s="9" t="inlineStr">
        <is>
          <t>3M non woven material with white ground / black color font  (INK CANNOT DISCOLORATION AND STAIN ON PRODUCT)</t>
        </is>
      </c>
      <c r="G110" s="9" t="inlineStr">
        <is>
          <t>4.0cmX7.0cm</t>
        </is>
      </c>
      <c r="H110" s="9" t="inlineStr">
        <is>
          <t>Position of Law Tag label – Sewing at the middle of short side</t>
        </is>
      </c>
      <c r="I110" s="10" t="n">
        <v>1</v>
      </c>
      <c r="J110" s="14" t="n">
        <v>2</v>
      </c>
      <c r="K110" s="13">
        <f>IFERROR(I110*(1+IFERROR(J110,0)/100)*VLOOKUP(B110,'1. Articles (SKUs)'!E:N,10,FALSE),"")</f>
        <v/>
      </c>
      <c r="L110" s="14" t="inlineStr"/>
    </row>
    <row r="111">
      <c r="A111" s="11" t="inlineStr">
        <is>
          <t>FT4</t>
        </is>
      </c>
      <c r="B111" s="11" t="inlineStr">
        <is>
          <t>GPMP33</t>
        </is>
      </c>
      <c r="C111" s="11" t="inlineStr">
        <is>
          <t>TWIN</t>
        </is>
      </c>
      <c r="D111" s="11" t="inlineStr">
        <is>
          <t>Label</t>
        </is>
      </c>
      <c r="E111" s="11" t="inlineStr">
        <is>
          <t>Non woven label with coating</t>
        </is>
      </c>
      <c r="F111" s="11" t="inlineStr">
        <is>
          <t>3M non woven material with white ground / black color font  (INK CANNOT DISCOLORATION AND STAIN ON PRODUCT)</t>
        </is>
      </c>
      <c r="G111" s="11" t="inlineStr">
        <is>
          <t>4.0cmX3.0cm</t>
        </is>
      </c>
      <c r="H111" s="11" t="inlineStr">
        <is>
          <t>Next the law tag label</t>
        </is>
      </c>
      <c r="I111" s="10" t="n">
        <v>1</v>
      </c>
      <c r="J111" s="14" t="n">
        <v>2</v>
      </c>
      <c r="K111" s="13">
        <f>IFERROR(I111*(1+IFERROR(J111,0)/100)*VLOOKUP(B111,'1. Articles (SKUs)'!E:N,10,FALSE),"")</f>
        <v/>
      </c>
      <c r="L111" s="14" t="inlineStr"/>
    </row>
    <row r="112">
      <c r="A112" s="9" t="inlineStr">
        <is>
          <t>FT4</t>
        </is>
      </c>
      <c r="B112" s="9" t="inlineStr">
        <is>
          <t>GPMP33</t>
        </is>
      </c>
      <c r="C112" s="9" t="inlineStr">
        <is>
          <t>TWIN</t>
        </is>
      </c>
      <c r="D112" s="9" t="inlineStr">
        <is>
          <t>Label</t>
        </is>
      </c>
      <c r="E112" s="9" t="inlineStr">
        <is>
          <t>Non woven label with coating</t>
        </is>
      </c>
      <c r="F112" s="9" t="inlineStr">
        <is>
          <t>3M non woven material with white ground / black color font  (INK CANNOT DISCOLORATION AND STAIN ON PRODUCT)</t>
        </is>
      </c>
      <c r="G112" s="9" t="inlineStr">
        <is>
          <t>4cmX7cm</t>
        </is>
      </c>
      <c r="H112" s="9" t="inlineStr"/>
      <c r="I112" s="10" t="n">
        <v>1</v>
      </c>
      <c r="J112" s="14" t="n">
        <v>2</v>
      </c>
      <c r="K112" s="13">
        <f>IFERROR(I112*(1+IFERROR(J112,0)/100)*VLOOKUP(B112,'1. Articles (SKUs)'!E:N,10,FALSE),"")</f>
        <v/>
      </c>
      <c r="L112" s="14" t="inlineStr"/>
    </row>
    <row r="113">
      <c r="A113" s="11" t="inlineStr">
        <is>
          <t>FT4</t>
        </is>
      </c>
      <c r="B113" s="11" t="inlineStr">
        <is>
          <t>GPMP33</t>
        </is>
      </c>
      <c r="C113" s="11" t="inlineStr">
        <is>
          <t>TWIN</t>
        </is>
      </c>
      <c r="D113" s="11" t="inlineStr">
        <is>
          <t>Label</t>
        </is>
      </c>
      <c r="E113" s="11" t="inlineStr">
        <is>
          <t>Non woven label with coating</t>
        </is>
      </c>
      <c r="F113" s="11" t="inlineStr">
        <is>
          <t>3M non woven material with white ground / black color font  (INK CANNOT DISCOLORATION AND STAIN ON PRODUCT)</t>
        </is>
      </c>
      <c r="G113" s="11" t="inlineStr">
        <is>
          <t>4.0cmX3.0cm</t>
        </is>
      </c>
      <c r="H113" s="11" t="inlineStr">
        <is>
          <t>Next the law tag label</t>
        </is>
      </c>
      <c r="I113" s="10" t="n">
        <v>1</v>
      </c>
      <c r="J113" s="14" t="n">
        <v>2</v>
      </c>
      <c r="K113" s="13">
        <f>IFERROR(I113*(1+IFERROR(J113,0)/100)*VLOOKUP(B113,'1. Articles (SKUs)'!E:N,10,FALSE),"")</f>
        <v/>
      </c>
      <c r="L113" s="14" t="inlineStr"/>
    </row>
    <row r="114">
      <c r="A114" s="9" t="inlineStr">
        <is>
          <t>FT4</t>
        </is>
      </c>
      <c r="B114" s="9" t="inlineStr">
        <is>
          <t>GPMP33</t>
        </is>
      </c>
      <c r="C114" s="9" t="inlineStr">
        <is>
          <t>TWIN</t>
        </is>
      </c>
      <c r="D114" s="9" t="inlineStr">
        <is>
          <t>Packaging</t>
        </is>
      </c>
      <c r="E114" s="9" t="inlineStr">
        <is>
          <t>Packaging type</t>
        </is>
      </c>
      <c r="F114" s="9" t="inlineStr">
        <is>
          <t>Color paper insert with vinyl PVC Bag with white bound seam &amp; inside cardboard wrapped by product(Stiffener)</t>
        </is>
      </c>
      <c r="G114" s="9" t="inlineStr"/>
      <c r="H114" s="9" t="inlineStr"/>
      <c r="I114" s="10" t="n">
        <v>1</v>
      </c>
      <c r="J114" s="14" t="n">
        <v>2</v>
      </c>
      <c r="K114" s="13">
        <f>IFERROR(I114*(1+IFERROR(J114,0)/100)*VLOOKUP(B114,'1. Articles (SKUs)'!E:N,10,FALSE),"")</f>
        <v/>
      </c>
      <c r="L114" s="14" t="inlineStr"/>
    </row>
    <row r="115">
      <c r="A115" s="11" t="inlineStr">
        <is>
          <t>FT4</t>
        </is>
      </c>
      <c r="B115" s="11" t="inlineStr">
        <is>
          <t>GPMP33</t>
        </is>
      </c>
      <c r="C115" s="11" t="inlineStr">
        <is>
          <t>TWIN</t>
        </is>
      </c>
      <c r="D115" s="11" t="inlineStr">
        <is>
          <t>Polybag</t>
        </is>
      </c>
      <c r="E115" s="11" t="inlineStr">
        <is>
          <t>Bag material</t>
        </is>
      </c>
      <c r="F115" s="11" t="inlineStr">
        <is>
          <t>12S (Thickness)- Transparent PVC Bag with 7S(Thickness) White PVC White Binding all around seam and 3# Nylon Coil White Zipper(No Hanger Loop on top)</t>
        </is>
      </c>
      <c r="G115" s="11" t="inlineStr"/>
      <c r="H115" s="11" t="inlineStr"/>
      <c r="I115" s="10" t="n">
        <v>1</v>
      </c>
      <c r="J115" s="14" t="n">
        <v>2</v>
      </c>
      <c r="K115" s="13">
        <f>IFERROR(I115*(1+IFERROR(J115,0)/100)*VLOOKUP(B115,'1. Articles (SKUs)'!E:N,10,FALSE),"")</f>
        <v/>
      </c>
      <c r="L115" s="14" t="inlineStr"/>
    </row>
    <row r="116">
      <c r="A116" s="9" t="inlineStr">
        <is>
          <t>FT4</t>
        </is>
      </c>
      <c r="B116" s="9" t="inlineStr">
        <is>
          <t>GPMP33</t>
        </is>
      </c>
      <c r="C116" s="9" t="inlineStr">
        <is>
          <t>TWIN</t>
        </is>
      </c>
      <c r="D116" s="9" t="inlineStr">
        <is>
          <t>Polybag</t>
        </is>
      </c>
      <c r="E116" s="9" t="inlineStr">
        <is>
          <t>Bag material</t>
        </is>
      </c>
      <c r="F116" s="9" t="inlineStr">
        <is>
          <t>Size – 3.5cm H X 11.5cm W, 0.35cm (Thickness) - PVC  Transparent Polybag with PP Transparent Plastic Hanger on Top, Bag opening at the bottom with automatic adhesive tape.( All PVC Materials need to use NON DEPH Substance to make the bag)</t>
        </is>
      </c>
      <c r="G116" s="9" t="inlineStr"/>
      <c r="H116" s="9" t="inlineStr"/>
      <c r="I116" s="10" t="n">
        <v>1</v>
      </c>
      <c r="J116" s="14" t="n">
        <v>2</v>
      </c>
      <c r="K116" s="13">
        <f>IFERROR(I116*(1+IFERROR(J116,0)/100)*VLOOKUP(B116,'1. Articles (SKUs)'!E:N,10,FALSE),"")</f>
        <v/>
      </c>
      <c r="L116" s="14" t="inlineStr"/>
    </row>
    <row r="117">
      <c r="A117" s="11" t="inlineStr">
        <is>
          <t>FT4</t>
        </is>
      </c>
      <c r="B117" s="11" t="inlineStr">
        <is>
          <t>GPMP33</t>
        </is>
      </c>
      <c r="C117" s="11" t="inlineStr">
        <is>
          <t>TWIN</t>
        </is>
      </c>
      <c r="D117" s="11" t="inlineStr">
        <is>
          <t>Insert Card</t>
        </is>
      </c>
      <c r="E117" s="11" t="inlineStr">
        <is>
          <t>Color paper insert material</t>
        </is>
      </c>
      <c r="F117" s="11" t="inlineStr">
        <is>
          <t>Printed Insert quality -  INSERT (“U” Shape) - Insert Material: 250g-300g White Card Paper with Coating both side</t>
        </is>
      </c>
      <c r="G117" s="11" t="inlineStr"/>
      <c r="H117" s="11" t="inlineStr"/>
      <c r="I117" s="10" t="n">
        <v>1</v>
      </c>
      <c r="J117" s="14" t="n">
        <v>2</v>
      </c>
      <c r="K117" s="13">
        <f>IFERROR(I117*(1+IFERROR(J117,0)/100)*VLOOKUP(B117,'1. Articles (SKUs)'!E:N,10,FALSE),"")</f>
        <v/>
      </c>
      <c r="L117" s="14" t="inlineStr"/>
    </row>
    <row r="118">
      <c r="A118" s="9" t="inlineStr">
        <is>
          <t>FT4</t>
        </is>
      </c>
      <c r="B118" s="9" t="inlineStr">
        <is>
          <t>GPMP33</t>
        </is>
      </c>
      <c r="C118" s="9" t="inlineStr">
        <is>
          <t>TWIN</t>
        </is>
      </c>
      <c r="D118" s="9" t="inlineStr">
        <is>
          <t>Insert Card</t>
        </is>
      </c>
      <c r="E118" s="9" t="inlineStr">
        <is>
          <t>Color paper insert material</t>
        </is>
      </c>
      <c r="F118" s="9" t="inlineStr">
        <is>
          <t>Printed Insert quality -  INSERT (“U” Shape) - Insert Material: 250g-300g White Card Paper with Coating both side</t>
        </is>
      </c>
      <c r="G118" s="9" t="inlineStr"/>
      <c r="H118" s="9" t="inlineStr"/>
      <c r="I118" s="10" t="n">
        <v>1</v>
      </c>
      <c r="J118" s="14" t="n">
        <v>2</v>
      </c>
      <c r="K118" s="13">
        <f>IFERROR(I118*(1+IFERROR(J118,0)/100)*VLOOKUP(B118,'1. Articles (SKUs)'!E:N,10,FALSE),"")</f>
        <v/>
      </c>
      <c r="L118" s="14" t="inlineStr"/>
    </row>
    <row r="119">
      <c r="A119" s="11" t="inlineStr">
        <is>
          <t>FT4</t>
        </is>
      </c>
      <c r="B119" s="11" t="inlineStr">
        <is>
          <t>GPMP33</t>
        </is>
      </c>
      <c r="C119" s="11" t="inlineStr">
        <is>
          <t>TWIN</t>
        </is>
      </c>
      <c r="D119" s="11" t="inlineStr">
        <is>
          <t>Stiffener</t>
        </is>
      </c>
      <c r="E119" s="11" t="inlineStr">
        <is>
          <t>Cardboard material(Stiffener)</t>
        </is>
      </c>
      <c r="F119" s="11" t="inlineStr">
        <is>
          <t>Packaging inside need to put a “U”  1 ply thickness(1 layers with 1 layer corrugated ) in White Cardboard to maintain the shape before putting into the box</t>
        </is>
      </c>
      <c r="G119" s="11" t="inlineStr"/>
      <c r="H119" s="11" t="inlineStr"/>
      <c r="I119" s="10" t="n">
        <v>1</v>
      </c>
      <c r="J119" s="14" t="n">
        <v>2</v>
      </c>
      <c r="K119" s="13">
        <f>IFERROR(I119*(1+IFERROR(J119,0)/100)*VLOOKUP(B119,'1. Articles (SKUs)'!E:N,10,FALSE),"")</f>
        <v/>
      </c>
      <c r="L119" s="14" t="inlineStr"/>
    </row>
    <row r="120">
      <c r="A120" s="9" t="inlineStr">
        <is>
          <t>FT4</t>
        </is>
      </c>
      <c r="B120" s="9" t="inlineStr">
        <is>
          <t>GPMP33</t>
        </is>
      </c>
      <c r="C120" s="9" t="inlineStr">
        <is>
          <t>TWIN</t>
        </is>
      </c>
      <c r="D120" s="9" t="inlineStr">
        <is>
          <t>Stiffener</t>
        </is>
      </c>
      <c r="E120" s="9" t="inlineStr">
        <is>
          <t>Cardboard material(Stiffener)</t>
        </is>
      </c>
      <c r="F120" s="9" t="inlineStr">
        <is>
          <t>White square card</t>
        </is>
      </c>
      <c r="G120" s="9" t="inlineStr"/>
      <c r="H120" s="9" t="inlineStr"/>
      <c r="I120" s="10" t="n">
        <v>1</v>
      </c>
      <c r="J120" s="14" t="n">
        <v>2</v>
      </c>
      <c r="K120" s="13">
        <f>IFERROR(I120*(1+IFERROR(J120,0)/100)*VLOOKUP(B120,'1. Articles (SKUs)'!E:N,10,FALSE),"")</f>
        <v/>
      </c>
      <c r="L120" s="14" t="inlineStr"/>
    </row>
    <row r="121">
      <c r="A121" s="11" t="inlineStr">
        <is>
          <t>FT4</t>
        </is>
      </c>
      <c r="B121" s="11" t="inlineStr">
        <is>
          <t>GPMP38</t>
        </is>
      </c>
      <c r="C121" s="11" t="inlineStr">
        <is>
          <t>TWIN XL</t>
        </is>
      </c>
      <c r="D121" s="11" t="inlineStr">
        <is>
          <t>Label</t>
        </is>
      </c>
      <c r="E121" s="11" t="inlineStr">
        <is>
          <t>Non woven label with coating</t>
        </is>
      </c>
      <c r="F121" s="11" t="inlineStr">
        <is>
          <t>3M non woven material with white ground / black color font  (INK CANNOT DISCOLORATION AND STAIN ON PRODUCT)</t>
        </is>
      </c>
      <c r="G121" s="11" t="inlineStr">
        <is>
          <t>4.0cmX7.0cm</t>
        </is>
      </c>
      <c r="H121" s="11" t="inlineStr">
        <is>
          <t>Position of Law Tag label – Sewing at the middle of short side</t>
        </is>
      </c>
      <c r="I121" s="10" t="n">
        <v>1</v>
      </c>
      <c r="J121" s="14" t="n">
        <v>2</v>
      </c>
      <c r="K121" s="13">
        <f>IFERROR(I121*(1+IFERROR(J121,0)/100)*VLOOKUP(B121,'1. Articles (SKUs)'!E:N,10,FALSE),"")</f>
        <v/>
      </c>
      <c r="L121" s="14" t="inlineStr"/>
    </row>
    <row r="122">
      <c r="A122" s="9" t="inlineStr">
        <is>
          <t>FT4</t>
        </is>
      </c>
      <c r="B122" s="9" t="inlineStr">
        <is>
          <t>GPMP38</t>
        </is>
      </c>
      <c r="C122" s="9" t="inlineStr">
        <is>
          <t>TWIN XL</t>
        </is>
      </c>
      <c r="D122" s="9" t="inlineStr">
        <is>
          <t>Label</t>
        </is>
      </c>
      <c r="E122" s="9" t="inlineStr">
        <is>
          <t>Non woven label with coating</t>
        </is>
      </c>
      <c r="F122" s="9" t="inlineStr">
        <is>
          <t>3M non woven material with white ground / black color font  (INK CANNOT DISCOLORATION AND STAIN ON PRODUCT)</t>
        </is>
      </c>
      <c r="G122" s="9" t="inlineStr">
        <is>
          <t>4.0cmX3.0cm</t>
        </is>
      </c>
      <c r="H122" s="9" t="inlineStr">
        <is>
          <t>Next the law tag label</t>
        </is>
      </c>
      <c r="I122" s="10" t="n">
        <v>1</v>
      </c>
      <c r="J122" s="14" t="n">
        <v>2</v>
      </c>
      <c r="K122" s="13">
        <f>IFERROR(I122*(1+IFERROR(J122,0)/100)*VLOOKUP(B122,'1. Articles (SKUs)'!E:N,10,FALSE),"")</f>
        <v/>
      </c>
      <c r="L122" s="14" t="inlineStr"/>
    </row>
    <row r="123">
      <c r="A123" s="11" t="inlineStr">
        <is>
          <t>FT4</t>
        </is>
      </c>
      <c r="B123" s="11" t="inlineStr">
        <is>
          <t>GPMP38</t>
        </is>
      </c>
      <c r="C123" s="11" t="inlineStr">
        <is>
          <t>TWIN XL</t>
        </is>
      </c>
      <c r="D123" s="11" t="inlineStr">
        <is>
          <t>Label</t>
        </is>
      </c>
      <c r="E123" s="11" t="inlineStr">
        <is>
          <t>Non woven label with coating</t>
        </is>
      </c>
      <c r="F123" s="11" t="inlineStr">
        <is>
          <t>3M non woven material with white ground / black color font  (INK CANNOT DISCOLORATION AND STAIN ON PRODUCT)</t>
        </is>
      </c>
      <c r="G123" s="11" t="inlineStr">
        <is>
          <t>4cmX7cm</t>
        </is>
      </c>
      <c r="H123" s="11" t="inlineStr"/>
      <c r="I123" s="10" t="n">
        <v>1</v>
      </c>
      <c r="J123" s="14" t="n">
        <v>2</v>
      </c>
      <c r="K123" s="13">
        <f>IFERROR(I123*(1+IFERROR(J123,0)/100)*VLOOKUP(B123,'1. Articles (SKUs)'!E:N,10,FALSE),"")</f>
        <v/>
      </c>
      <c r="L123" s="14" t="inlineStr"/>
    </row>
    <row r="124">
      <c r="A124" s="9" t="inlineStr">
        <is>
          <t>FT4</t>
        </is>
      </c>
      <c r="B124" s="9" t="inlineStr">
        <is>
          <t>GPMP38</t>
        </is>
      </c>
      <c r="C124" s="9" t="inlineStr">
        <is>
          <t>TWIN XL</t>
        </is>
      </c>
      <c r="D124" s="9" t="inlineStr">
        <is>
          <t>Label</t>
        </is>
      </c>
      <c r="E124" s="9" t="inlineStr">
        <is>
          <t>Non woven label with coating</t>
        </is>
      </c>
      <c r="F124" s="9" t="inlineStr">
        <is>
          <t>3M non woven material with white ground / black color font  (INK CANNOT DISCOLORATION AND STAIN ON PRODUCT)</t>
        </is>
      </c>
      <c r="G124" s="9" t="inlineStr">
        <is>
          <t>4.0cmX3.0cm</t>
        </is>
      </c>
      <c r="H124" s="9" t="inlineStr">
        <is>
          <t>Next the law tag label</t>
        </is>
      </c>
      <c r="I124" s="10" t="n">
        <v>1</v>
      </c>
      <c r="J124" s="14" t="n">
        <v>2</v>
      </c>
      <c r="K124" s="13">
        <f>IFERROR(I124*(1+IFERROR(J124,0)/100)*VLOOKUP(B124,'1. Articles (SKUs)'!E:N,10,FALSE),"")</f>
        <v/>
      </c>
      <c r="L124" s="14" t="inlineStr"/>
    </row>
    <row r="125">
      <c r="A125" s="11" t="inlineStr">
        <is>
          <t>FT4</t>
        </is>
      </c>
      <c r="B125" s="11" t="inlineStr">
        <is>
          <t>GPMP38</t>
        </is>
      </c>
      <c r="C125" s="11" t="inlineStr">
        <is>
          <t>TWIN XL</t>
        </is>
      </c>
      <c r="D125" s="11" t="inlineStr">
        <is>
          <t>Packaging</t>
        </is>
      </c>
      <c r="E125" s="11" t="inlineStr">
        <is>
          <t>Packaging type</t>
        </is>
      </c>
      <c r="F125" s="11" t="inlineStr">
        <is>
          <t>Color paper insert with vinyl PVC Bag with white bound seam &amp; inside cardboard wrapped by product(Stiffener)</t>
        </is>
      </c>
      <c r="G125" s="11" t="inlineStr"/>
      <c r="H125" s="11" t="inlineStr"/>
      <c r="I125" s="10" t="n">
        <v>1</v>
      </c>
      <c r="J125" s="14" t="n">
        <v>2</v>
      </c>
      <c r="K125" s="13">
        <f>IFERROR(I125*(1+IFERROR(J125,0)/100)*VLOOKUP(B125,'1. Articles (SKUs)'!E:N,10,FALSE),"")</f>
        <v/>
      </c>
      <c r="L125" s="14" t="inlineStr"/>
    </row>
    <row r="126">
      <c r="A126" s="9" t="inlineStr">
        <is>
          <t>FT4</t>
        </is>
      </c>
      <c r="B126" s="9" t="inlineStr">
        <is>
          <t>GPMP38</t>
        </is>
      </c>
      <c r="C126" s="9" t="inlineStr">
        <is>
          <t>TWIN XL</t>
        </is>
      </c>
      <c r="D126" s="9" t="inlineStr">
        <is>
          <t>Polybag</t>
        </is>
      </c>
      <c r="E126" s="9" t="inlineStr">
        <is>
          <t>Bag material</t>
        </is>
      </c>
      <c r="F126" s="9" t="inlineStr">
        <is>
          <t>12S (Thickness)- Transparent PVC Bag with 7S(Thickness) White PVC White Binding all around seam and 3# Nylon Coil White Zipper(No Hanger Loop on top)</t>
        </is>
      </c>
      <c r="G126" s="9" t="inlineStr"/>
      <c r="H126" s="9" t="inlineStr"/>
      <c r="I126" s="10" t="n">
        <v>1</v>
      </c>
      <c r="J126" s="14" t="n">
        <v>2</v>
      </c>
      <c r="K126" s="13">
        <f>IFERROR(I126*(1+IFERROR(J126,0)/100)*VLOOKUP(B126,'1. Articles (SKUs)'!E:N,10,FALSE),"")</f>
        <v/>
      </c>
      <c r="L126" s="14" t="inlineStr"/>
    </row>
    <row r="127">
      <c r="A127" s="11" t="inlineStr">
        <is>
          <t>FT4</t>
        </is>
      </c>
      <c r="B127" s="11" t="inlineStr">
        <is>
          <t>GPMP38</t>
        </is>
      </c>
      <c r="C127" s="11" t="inlineStr">
        <is>
          <t>TWIN XL</t>
        </is>
      </c>
      <c r="D127" s="11" t="inlineStr">
        <is>
          <t>Polybag</t>
        </is>
      </c>
      <c r="E127" s="11" t="inlineStr">
        <is>
          <t>Bag material</t>
        </is>
      </c>
      <c r="F127" s="11" t="inlineStr">
        <is>
          <t>Size – 3.5cm H X 11.5cm W, 0.35cm (Thickness) - PVC  Transparent Polybag with PP Transparent Plastic Hanger on Top, Bag opening at the bottom with automatic adhesive tape.( All PVC Materials need to use NON DEPH Substance to make the bag)</t>
        </is>
      </c>
      <c r="G127" s="11" t="inlineStr"/>
      <c r="H127" s="11" t="inlineStr"/>
      <c r="I127" s="10" t="n">
        <v>1</v>
      </c>
      <c r="J127" s="14" t="n">
        <v>2</v>
      </c>
      <c r="K127" s="13">
        <f>IFERROR(I127*(1+IFERROR(J127,0)/100)*VLOOKUP(B127,'1. Articles (SKUs)'!E:N,10,FALSE),"")</f>
        <v/>
      </c>
      <c r="L127" s="14" t="inlineStr"/>
    </row>
    <row r="128">
      <c r="A128" s="9" t="inlineStr">
        <is>
          <t>FT4</t>
        </is>
      </c>
      <c r="B128" s="9" t="inlineStr">
        <is>
          <t>GPMP38</t>
        </is>
      </c>
      <c r="C128" s="9" t="inlineStr">
        <is>
          <t>TWIN XL</t>
        </is>
      </c>
      <c r="D128" s="9" t="inlineStr">
        <is>
          <t>Insert Card</t>
        </is>
      </c>
      <c r="E128" s="9" t="inlineStr">
        <is>
          <t>Color paper insert material</t>
        </is>
      </c>
      <c r="F128" s="9" t="inlineStr">
        <is>
          <t>Printed Insert quality -  INSERT (“U” Shape) - Insert Material: 250g-300g White Card Paper with Coating both side</t>
        </is>
      </c>
      <c r="G128" s="9" t="inlineStr"/>
      <c r="H128" s="9" t="inlineStr"/>
      <c r="I128" s="10" t="n">
        <v>1</v>
      </c>
      <c r="J128" s="14" t="n">
        <v>2</v>
      </c>
      <c r="K128" s="13">
        <f>IFERROR(I128*(1+IFERROR(J128,0)/100)*VLOOKUP(B128,'1. Articles (SKUs)'!E:N,10,FALSE),"")</f>
        <v/>
      </c>
      <c r="L128" s="14" t="inlineStr"/>
    </row>
    <row r="129">
      <c r="A129" s="11" t="inlineStr">
        <is>
          <t>FT4</t>
        </is>
      </c>
      <c r="B129" s="11" t="inlineStr">
        <is>
          <t>GPMP38</t>
        </is>
      </c>
      <c r="C129" s="11" t="inlineStr">
        <is>
          <t>TWIN XL</t>
        </is>
      </c>
      <c r="D129" s="11" t="inlineStr">
        <is>
          <t>Insert Card</t>
        </is>
      </c>
      <c r="E129" s="11" t="inlineStr">
        <is>
          <t>Color paper insert material</t>
        </is>
      </c>
      <c r="F129" s="11" t="inlineStr">
        <is>
          <t>Printed Insert quality -  INSERT (“U” Shape) - Insert Material: 250g-300g White Card Paper with Coating both side</t>
        </is>
      </c>
      <c r="G129" s="11" t="inlineStr"/>
      <c r="H129" s="11" t="inlineStr"/>
      <c r="I129" s="10" t="n">
        <v>1</v>
      </c>
      <c r="J129" s="14" t="n">
        <v>2</v>
      </c>
      <c r="K129" s="13">
        <f>IFERROR(I129*(1+IFERROR(J129,0)/100)*VLOOKUP(B129,'1. Articles (SKUs)'!E:N,10,FALSE),"")</f>
        <v/>
      </c>
      <c r="L129" s="14" t="inlineStr"/>
    </row>
    <row r="130">
      <c r="A130" s="9" t="inlineStr">
        <is>
          <t>FT4</t>
        </is>
      </c>
      <c r="B130" s="9" t="inlineStr">
        <is>
          <t>GPMP38</t>
        </is>
      </c>
      <c r="C130" s="9" t="inlineStr">
        <is>
          <t>TWIN XL</t>
        </is>
      </c>
      <c r="D130" s="9" t="inlineStr">
        <is>
          <t>Stiffener</t>
        </is>
      </c>
      <c r="E130" s="9" t="inlineStr">
        <is>
          <t>Cardboard material(Stiffener)</t>
        </is>
      </c>
      <c r="F130" s="9" t="inlineStr">
        <is>
          <t>Packaging inside need to put a “U”  1 ply thickness(1 layers with 1 layer corrugated ) in White Cardboard to maintain the shape before putting into the box</t>
        </is>
      </c>
      <c r="G130" s="9" t="inlineStr"/>
      <c r="H130" s="9" t="inlineStr"/>
      <c r="I130" s="10" t="n">
        <v>1</v>
      </c>
      <c r="J130" s="14" t="n">
        <v>2</v>
      </c>
      <c r="K130" s="13">
        <f>IFERROR(I130*(1+IFERROR(J130,0)/100)*VLOOKUP(B130,'1. Articles (SKUs)'!E:N,10,FALSE),"")</f>
        <v/>
      </c>
      <c r="L130" s="14" t="inlineStr"/>
    </row>
    <row r="131">
      <c r="A131" s="11" t="inlineStr">
        <is>
          <t>FT4</t>
        </is>
      </c>
      <c r="B131" s="11" t="inlineStr">
        <is>
          <t>GPMP38</t>
        </is>
      </c>
      <c r="C131" s="11" t="inlineStr">
        <is>
          <t>TWIN XL</t>
        </is>
      </c>
      <c r="D131" s="11" t="inlineStr">
        <is>
          <t>Stiffener</t>
        </is>
      </c>
      <c r="E131" s="11" t="inlineStr">
        <is>
          <t>Cardboard material(Stiffener)</t>
        </is>
      </c>
      <c r="F131" s="11" t="inlineStr">
        <is>
          <t>White square card</t>
        </is>
      </c>
      <c r="G131" s="11" t="inlineStr"/>
      <c r="H131" s="11" t="inlineStr"/>
      <c r="I131" s="10" t="n">
        <v>1</v>
      </c>
      <c r="J131" s="14" t="n">
        <v>2</v>
      </c>
      <c r="K131" s="13">
        <f>IFERROR(I131*(1+IFERROR(J131,0)/100)*VLOOKUP(B131,'1. Articles (SKUs)'!E:N,10,FALSE),"")</f>
        <v/>
      </c>
      <c r="L131" s="14" t="inlineStr"/>
    </row>
    <row r="132">
      <c r="A132" s="9" t="inlineStr">
        <is>
          <t>FT4</t>
        </is>
      </c>
      <c r="B132" s="9" t="inlineStr">
        <is>
          <t>GPMP46</t>
        </is>
      </c>
      <c r="C132" s="9" t="inlineStr">
        <is>
          <t>FULL</t>
        </is>
      </c>
      <c r="D132" s="9" t="inlineStr">
        <is>
          <t>Label</t>
        </is>
      </c>
      <c r="E132" s="9" t="inlineStr">
        <is>
          <t>Non woven label with coating</t>
        </is>
      </c>
      <c r="F132" s="9" t="inlineStr">
        <is>
          <t>3M non woven material with white ground / black color font  (INK CANNOT DISCOLORATION AND STAIN ON PRODUCT)</t>
        </is>
      </c>
      <c r="G132" s="9" t="inlineStr">
        <is>
          <t>4.0cmX7.0cm</t>
        </is>
      </c>
      <c r="H132" s="9" t="inlineStr">
        <is>
          <t>Position of Law Tag label – Sewing at the middle of short side</t>
        </is>
      </c>
      <c r="I132" s="10" t="n">
        <v>1</v>
      </c>
      <c r="J132" s="14" t="n">
        <v>2</v>
      </c>
      <c r="K132" s="13">
        <f>IFERROR(I132*(1+IFERROR(J132,0)/100)*VLOOKUP(B132,'1. Articles (SKUs)'!E:N,10,FALSE),"")</f>
        <v/>
      </c>
      <c r="L132" s="14" t="inlineStr"/>
    </row>
    <row r="133">
      <c r="A133" s="11" t="inlineStr">
        <is>
          <t>FT4</t>
        </is>
      </c>
      <c r="B133" s="11" t="inlineStr">
        <is>
          <t>GPMP46</t>
        </is>
      </c>
      <c r="C133" s="11" t="inlineStr">
        <is>
          <t>FULL</t>
        </is>
      </c>
      <c r="D133" s="11" t="inlineStr">
        <is>
          <t>Label</t>
        </is>
      </c>
      <c r="E133" s="11" t="inlineStr">
        <is>
          <t>Non woven label with coating</t>
        </is>
      </c>
      <c r="F133" s="11" t="inlineStr">
        <is>
          <t>3M non woven material with white ground / black color font  (INK CANNOT DISCOLORATION AND STAIN ON PRODUCT)</t>
        </is>
      </c>
      <c r="G133" s="11" t="inlineStr">
        <is>
          <t>4.0cmX3.0cm</t>
        </is>
      </c>
      <c r="H133" s="11" t="inlineStr">
        <is>
          <t>Next the law tag label</t>
        </is>
      </c>
      <c r="I133" s="10" t="n">
        <v>1</v>
      </c>
      <c r="J133" s="14" t="n">
        <v>2</v>
      </c>
      <c r="K133" s="13">
        <f>IFERROR(I133*(1+IFERROR(J133,0)/100)*VLOOKUP(B133,'1. Articles (SKUs)'!E:N,10,FALSE),"")</f>
        <v/>
      </c>
      <c r="L133" s="14" t="inlineStr"/>
    </row>
    <row r="134">
      <c r="A134" s="9" t="inlineStr">
        <is>
          <t>FT4</t>
        </is>
      </c>
      <c r="B134" s="9" t="inlineStr">
        <is>
          <t>GPMP46</t>
        </is>
      </c>
      <c r="C134" s="9" t="inlineStr">
        <is>
          <t>FULL</t>
        </is>
      </c>
      <c r="D134" s="9" t="inlineStr">
        <is>
          <t>Label</t>
        </is>
      </c>
      <c r="E134" s="9" t="inlineStr">
        <is>
          <t>Non woven label with coating</t>
        </is>
      </c>
      <c r="F134" s="9" t="inlineStr">
        <is>
          <t>3M non woven material with white ground / black color font  (INK CANNOT DISCOLORATION AND STAIN ON PRODUCT)</t>
        </is>
      </c>
      <c r="G134" s="9" t="inlineStr">
        <is>
          <t>4cmX7cm</t>
        </is>
      </c>
      <c r="H134" s="9" t="inlineStr"/>
      <c r="I134" s="10" t="n">
        <v>1</v>
      </c>
      <c r="J134" s="14" t="n">
        <v>2</v>
      </c>
      <c r="K134" s="13">
        <f>IFERROR(I134*(1+IFERROR(J134,0)/100)*VLOOKUP(B134,'1. Articles (SKUs)'!E:N,10,FALSE),"")</f>
        <v/>
      </c>
      <c r="L134" s="14" t="inlineStr"/>
    </row>
    <row r="135">
      <c r="A135" s="11" t="inlineStr">
        <is>
          <t>FT4</t>
        </is>
      </c>
      <c r="B135" s="11" t="inlineStr">
        <is>
          <t>GPMP46</t>
        </is>
      </c>
      <c r="C135" s="11" t="inlineStr">
        <is>
          <t>FULL</t>
        </is>
      </c>
      <c r="D135" s="11" t="inlineStr">
        <is>
          <t>Label</t>
        </is>
      </c>
      <c r="E135" s="11" t="inlineStr">
        <is>
          <t>Non woven label with coating</t>
        </is>
      </c>
      <c r="F135" s="11" t="inlineStr">
        <is>
          <t>3M non woven material with white ground / black color font  (INK CANNOT DISCOLORATION AND STAIN ON PRODUCT)</t>
        </is>
      </c>
      <c r="G135" s="11" t="inlineStr">
        <is>
          <t>4.0cmX3.0cm</t>
        </is>
      </c>
      <c r="H135" s="11" t="inlineStr">
        <is>
          <t>Next the law tag label</t>
        </is>
      </c>
      <c r="I135" s="10" t="n">
        <v>1</v>
      </c>
      <c r="J135" s="14" t="n">
        <v>2</v>
      </c>
      <c r="K135" s="13">
        <f>IFERROR(I135*(1+IFERROR(J135,0)/100)*VLOOKUP(B135,'1. Articles (SKUs)'!E:N,10,FALSE),"")</f>
        <v/>
      </c>
      <c r="L135" s="14" t="inlineStr"/>
    </row>
    <row r="136">
      <c r="A136" s="9" t="inlineStr">
        <is>
          <t>FT4</t>
        </is>
      </c>
      <c r="B136" s="9" t="inlineStr">
        <is>
          <t>GPMP46</t>
        </is>
      </c>
      <c r="C136" s="9" t="inlineStr">
        <is>
          <t>FULL</t>
        </is>
      </c>
      <c r="D136" s="9" t="inlineStr">
        <is>
          <t>Packaging</t>
        </is>
      </c>
      <c r="E136" s="9" t="inlineStr">
        <is>
          <t>Packaging type</t>
        </is>
      </c>
      <c r="F136" s="9" t="inlineStr">
        <is>
          <t>Color paper insert with vinyl PVC Bag with white bound seam &amp; inside cardboard wrapped by product(Stiffener)</t>
        </is>
      </c>
      <c r="G136" s="9" t="inlineStr"/>
      <c r="H136" s="9" t="inlineStr"/>
      <c r="I136" s="10" t="n">
        <v>1</v>
      </c>
      <c r="J136" s="14" t="n">
        <v>2</v>
      </c>
      <c r="K136" s="13">
        <f>IFERROR(I136*(1+IFERROR(J136,0)/100)*VLOOKUP(B136,'1. Articles (SKUs)'!E:N,10,FALSE),"")</f>
        <v/>
      </c>
      <c r="L136" s="14" t="inlineStr"/>
    </row>
    <row r="137">
      <c r="A137" s="11" t="inlineStr">
        <is>
          <t>FT4</t>
        </is>
      </c>
      <c r="B137" s="11" t="inlineStr">
        <is>
          <t>GPMP46</t>
        </is>
      </c>
      <c r="C137" s="11" t="inlineStr">
        <is>
          <t>FULL</t>
        </is>
      </c>
      <c r="D137" s="11" t="inlineStr">
        <is>
          <t>Polybag</t>
        </is>
      </c>
      <c r="E137" s="11" t="inlineStr">
        <is>
          <t>Bag material</t>
        </is>
      </c>
      <c r="F137" s="11" t="inlineStr">
        <is>
          <t>12S (Thickness)- Transparent PVC Bag with 7S(Thickness) White PVC White Binding all around seam and 3# Nylon Coil White Zipper(No Hanger Loop on top)</t>
        </is>
      </c>
      <c r="G137" s="11" t="inlineStr"/>
      <c r="H137" s="11" t="inlineStr"/>
      <c r="I137" s="10" t="n">
        <v>1</v>
      </c>
      <c r="J137" s="14" t="n">
        <v>2</v>
      </c>
      <c r="K137" s="13">
        <f>IFERROR(I137*(1+IFERROR(J137,0)/100)*VLOOKUP(B137,'1. Articles (SKUs)'!E:N,10,FALSE),"")</f>
        <v/>
      </c>
      <c r="L137" s="14" t="inlineStr"/>
    </row>
    <row r="138">
      <c r="A138" s="9" t="inlineStr">
        <is>
          <t>FT4</t>
        </is>
      </c>
      <c r="B138" s="9" t="inlineStr">
        <is>
          <t>GPMP46</t>
        </is>
      </c>
      <c r="C138" s="9" t="inlineStr">
        <is>
          <t>FULL</t>
        </is>
      </c>
      <c r="D138" s="9" t="inlineStr">
        <is>
          <t>Polybag</t>
        </is>
      </c>
      <c r="E138" s="9" t="inlineStr">
        <is>
          <t>Bag material</t>
        </is>
      </c>
      <c r="F138" s="9" t="inlineStr">
        <is>
          <t>Size – 3.5cm H X 11.5cm W, 0.35cm (Thickness) - PVC  Transparent Polybag with PP Transparent Plastic Hanger on Top, Bag opening at the bottom with automatic adhesive tape.( All PVC Materials need to use NON DEPH Substance to make the bag)</t>
        </is>
      </c>
      <c r="G138" s="9" t="inlineStr"/>
      <c r="H138" s="9" t="inlineStr"/>
      <c r="I138" s="10" t="n">
        <v>1</v>
      </c>
      <c r="J138" s="14" t="n">
        <v>2</v>
      </c>
      <c r="K138" s="13">
        <f>IFERROR(I138*(1+IFERROR(J138,0)/100)*VLOOKUP(B138,'1. Articles (SKUs)'!E:N,10,FALSE),"")</f>
        <v/>
      </c>
      <c r="L138" s="14" t="inlineStr"/>
    </row>
    <row r="139">
      <c r="A139" s="11" t="inlineStr">
        <is>
          <t>FT4</t>
        </is>
      </c>
      <c r="B139" s="11" t="inlineStr">
        <is>
          <t>GPMP46</t>
        </is>
      </c>
      <c r="C139" s="11" t="inlineStr">
        <is>
          <t>FULL</t>
        </is>
      </c>
      <c r="D139" s="11" t="inlineStr">
        <is>
          <t>Insert Card</t>
        </is>
      </c>
      <c r="E139" s="11" t="inlineStr">
        <is>
          <t>Color paper insert material</t>
        </is>
      </c>
      <c r="F139" s="11" t="inlineStr">
        <is>
          <t>Printed Insert quality -  INSERT (“U” Shape) - Insert Material: 250g-300g White Card Paper with Coating both side</t>
        </is>
      </c>
      <c r="G139" s="11" t="inlineStr"/>
      <c r="H139" s="11" t="inlineStr"/>
      <c r="I139" s="10" t="n">
        <v>1</v>
      </c>
      <c r="J139" s="14" t="n">
        <v>2</v>
      </c>
      <c r="K139" s="13">
        <f>IFERROR(I139*(1+IFERROR(J139,0)/100)*VLOOKUP(B139,'1. Articles (SKUs)'!E:N,10,FALSE),"")</f>
        <v/>
      </c>
      <c r="L139" s="14" t="inlineStr"/>
    </row>
    <row r="140">
      <c r="A140" s="9" t="inlineStr">
        <is>
          <t>FT4</t>
        </is>
      </c>
      <c r="B140" s="9" t="inlineStr">
        <is>
          <t>GPMP46</t>
        </is>
      </c>
      <c r="C140" s="9" t="inlineStr">
        <is>
          <t>FULL</t>
        </is>
      </c>
      <c r="D140" s="9" t="inlineStr">
        <is>
          <t>Insert Card</t>
        </is>
      </c>
      <c r="E140" s="9" t="inlineStr">
        <is>
          <t>Color paper insert material</t>
        </is>
      </c>
      <c r="F140" s="9" t="inlineStr">
        <is>
          <t>Printed Insert quality -  INSERT (“U” Shape) - Insert Material: 250g-300g White Card Paper with Coating both side</t>
        </is>
      </c>
      <c r="G140" s="9" t="inlineStr"/>
      <c r="H140" s="9" t="inlineStr"/>
      <c r="I140" s="10" t="n">
        <v>1</v>
      </c>
      <c r="J140" s="14" t="n">
        <v>2</v>
      </c>
      <c r="K140" s="13">
        <f>IFERROR(I140*(1+IFERROR(J140,0)/100)*VLOOKUP(B140,'1. Articles (SKUs)'!E:N,10,FALSE),"")</f>
        <v/>
      </c>
      <c r="L140" s="14" t="inlineStr"/>
    </row>
    <row r="141">
      <c r="A141" s="11" t="inlineStr">
        <is>
          <t>FT4</t>
        </is>
      </c>
      <c r="B141" s="11" t="inlineStr">
        <is>
          <t>GPMP46</t>
        </is>
      </c>
      <c r="C141" s="11" t="inlineStr">
        <is>
          <t>FULL</t>
        </is>
      </c>
      <c r="D141" s="11" t="inlineStr">
        <is>
          <t>Stiffener</t>
        </is>
      </c>
      <c r="E141" s="11" t="inlineStr">
        <is>
          <t>Cardboard material(Stiffener)</t>
        </is>
      </c>
      <c r="F141" s="11" t="inlineStr">
        <is>
          <t>Packaging inside need to put a “U”  1 ply thickness(1 layers with 1 layer corrugated ) in White Cardboard to maintain the shape before putting into the box</t>
        </is>
      </c>
      <c r="G141" s="11" t="inlineStr"/>
      <c r="H141" s="11" t="inlineStr"/>
      <c r="I141" s="10" t="n">
        <v>1</v>
      </c>
      <c r="J141" s="14" t="n">
        <v>2</v>
      </c>
      <c r="K141" s="13">
        <f>IFERROR(I141*(1+IFERROR(J141,0)/100)*VLOOKUP(B141,'1. Articles (SKUs)'!E:N,10,FALSE),"")</f>
        <v/>
      </c>
      <c r="L141" s="14" t="inlineStr"/>
    </row>
    <row r="142">
      <c r="A142" s="9" t="inlineStr">
        <is>
          <t>FT4</t>
        </is>
      </c>
      <c r="B142" s="9" t="inlineStr">
        <is>
          <t>GPMP46</t>
        </is>
      </c>
      <c r="C142" s="9" t="inlineStr">
        <is>
          <t>FULL</t>
        </is>
      </c>
      <c r="D142" s="9" t="inlineStr">
        <is>
          <t>Stiffener</t>
        </is>
      </c>
      <c r="E142" s="9" t="inlineStr">
        <is>
          <t>Cardboard material(Stiffener)</t>
        </is>
      </c>
      <c r="F142" s="9" t="inlineStr">
        <is>
          <t>White square card</t>
        </is>
      </c>
      <c r="G142" s="9" t="inlineStr"/>
      <c r="H142" s="9" t="inlineStr"/>
      <c r="I142" s="10" t="n">
        <v>1</v>
      </c>
      <c r="J142" s="14" t="n">
        <v>2</v>
      </c>
      <c r="K142" s="13">
        <f>IFERROR(I142*(1+IFERROR(J142,0)/100)*VLOOKUP(B142,'1. Articles (SKUs)'!E:N,10,FALSE),"")</f>
        <v/>
      </c>
      <c r="L142" s="14" t="inlineStr"/>
    </row>
    <row r="143">
      <c r="A143" s="11" t="inlineStr">
        <is>
          <t>FT4</t>
        </is>
      </c>
      <c r="B143" s="11" t="inlineStr">
        <is>
          <t>GPMP80</t>
        </is>
      </c>
      <c r="C143" s="11" t="inlineStr">
        <is>
          <t>FULL XL</t>
        </is>
      </c>
      <c r="D143" s="11" t="inlineStr">
        <is>
          <t>Label</t>
        </is>
      </c>
      <c r="E143" s="11" t="inlineStr">
        <is>
          <t>Non woven label with coating</t>
        </is>
      </c>
      <c r="F143" s="11" t="inlineStr">
        <is>
          <t>3M non woven material with white ground / black color font  (INK CANNOT DISCOLORATION AND STAIN ON PRODUCT)</t>
        </is>
      </c>
      <c r="G143" s="11" t="inlineStr">
        <is>
          <t>4.0cmX7.0cm</t>
        </is>
      </c>
      <c r="H143" s="11" t="inlineStr">
        <is>
          <t>Position of Law Tag label – Sewing at the middle of short side</t>
        </is>
      </c>
      <c r="I143" s="10" t="n">
        <v>1</v>
      </c>
      <c r="J143" s="14" t="n">
        <v>2</v>
      </c>
      <c r="K143" s="13">
        <f>IFERROR(I143*(1+IFERROR(J143,0)/100)*VLOOKUP(B143,'1. Articles (SKUs)'!E:N,10,FALSE),"")</f>
        <v/>
      </c>
      <c r="L143" s="14" t="inlineStr"/>
    </row>
    <row r="144">
      <c r="A144" s="9" t="inlineStr">
        <is>
          <t>FT4</t>
        </is>
      </c>
      <c r="B144" s="9" t="inlineStr">
        <is>
          <t>GPMP80</t>
        </is>
      </c>
      <c r="C144" s="9" t="inlineStr">
        <is>
          <t>FULL XL</t>
        </is>
      </c>
      <c r="D144" s="9" t="inlineStr">
        <is>
          <t>Label</t>
        </is>
      </c>
      <c r="E144" s="9" t="inlineStr">
        <is>
          <t>Non woven label with coating</t>
        </is>
      </c>
      <c r="F144" s="9" t="inlineStr">
        <is>
          <t>3M non woven material with white ground / black color font  (INK CANNOT DISCOLORATION AND STAIN ON PRODUCT)</t>
        </is>
      </c>
      <c r="G144" s="9" t="inlineStr">
        <is>
          <t>4.0cmX3.0cm</t>
        </is>
      </c>
      <c r="H144" s="9" t="inlineStr">
        <is>
          <t>Next the law tag label</t>
        </is>
      </c>
      <c r="I144" s="10" t="n">
        <v>1</v>
      </c>
      <c r="J144" s="14" t="n">
        <v>2</v>
      </c>
      <c r="K144" s="13">
        <f>IFERROR(I144*(1+IFERROR(J144,0)/100)*VLOOKUP(B144,'1. Articles (SKUs)'!E:N,10,FALSE),"")</f>
        <v/>
      </c>
      <c r="L144" s="14" t="inlineStr"/>
    </row>
    <row r="145">
      <c r="A145" s="11" t="inlineStr">
        <is>
          <t>FT4</t>
        </is>
      </c>
      <c r="B145" s="11" t="inlineStr">
        <is>
          <t>GPMP80</t>
        </is>
      </c>
      <c r="C145" s="11" t="inlineStr">
        <is>
          <t>FULL XL</t>
        </is>
      </c>
      <c r="D145" s="11" t="inlineStr">
        <is>
          <t>Label</t>
        </is>
      </c>
      <c r="E145" s="11" t="inlineStr">
        <is>
          <t>Non woven label with coating</t>
        </is>
      </c>
      <c r="F145" s="11" t="inlineStr">
        <is>
          <t>3M non woven material with white ground / black color font  (INK CANNOT DISCOLORATION AND STAIN ON PRODUCT)</t>
        </is>
      </c>
      <c r="G145" s="11" t="inlineStr">
        <is>
          <t>4cmX7cm</t>
        </is>
      </c>
      <c r="H145" s="11" t="inlineStr"/>
      <c r="I145" s="10" t="n">
        <v>1</v>
      </c>
      <c r="J145" s="14" t="n">
        <v>2</v>
      </c>
      <c r="K145" s="13">
        <f>IFERROR(I145*(1+IFERROR(J145,0)/100)*VLOOKUP(B145,'1. Articles (SKUs)'!E:N,10,FALSE),"")</f>
        <v/>
      </c>
      <c r="L145" s="14" t="inlineStr"/>
    </row>
    <row r="146">
      <c r="A146" s="9" t="inlineStr">
        <is>
          <t>FT4</t>
        </is>
      </c>
      <c r="B146" s="9" t="inlineStr">
        <is>
          <t>GPMP80</t>
        </is>
      </c>
      <c r="C146" s="9" t="inlineStr">
        <is>
          <t>FULL XL</t>
        </is>
      </c>
      <c r="D146" s="9" t="inlineStr">
        <is>
          <t>Label</t>
        </is>
      </c>
      <c r="E146" s="9" t="inlineStr">
        <is>
          <t>Non woven label with coating</t>
        </is>
      </c>
      <c r="F146" s="9" t="inlineStr">
        <is>
          <t>3M non woven material with white ground / black color font  (INK CANNOT DISCOLORATION AND STAIN ON PRODUCT)</t>
        </is>
      </c>
      <c r="G146" s="9" t="inlineStr">
        <is>
          <t>4.0cmX3.0cm</t>
        </is>
      </c>
      <c r="H146" s="9" t="inlineStr">
        <is>
          <t>Next the law tag label</t>
        </is>
      </c>
      <c r="I146" s="10" t="n">
        <v>1</v>
      </c>
      <c r="J146" s="14" t="n">
        <v>2</v>
      </c>
      <c r="K146" s="13">
        <f>IFERROR(I146*(1+IFERROR(J146,0)/100)*VLOOKUP(B146,'1. Articles (SKUs)'!E:N,10,FALSE),"")</f>
        <v/>
      </c>
      <c r="L146" s="14" t="inlineStr"/>
    </row>
    <row r="147">
      <c r="A147" s="11" t="inlineStr">
        <is>
          <t>FT4</t>
        </is>
      </c>
      <c r="B147" s="11" t="inlineStr">
        <is>
          <t>GPMP80</t>
        </is>
      </c>
      <c r="C147" s="11" t="inlineStr">
        <is>
          <t>FULL XL</t>
        </is>
      </c>
      <c r="D147" s="11" t="inlineStr">
        <is>
          <t>Packaging</t>
        </is>
      </c>
      <c r="E147" s="11" t="inlineStr">
        <is>
          <t>Packaging type</t>
        </is>
      </c>
      <c r="F147" s="11" t="inlineStr">
        <is>
          <t>Color paper insert with vinyl PVC Bag with white bound seam &amp; inside cardboard wrapped by product(Stiffener)</t>
        </is>
      </c>
      <c r="G147" s="11" t="inlineStr"/>
      <c r="H147" s="11" t="inlineStr"/>
      <c r="I147" s="10" t="n">
        <v>1</v>
      </c>
      <c r="J147" s="14" t="n">
        <v>2</v>
      </c>
      <c r="K147" s="13">
        <f>IFERROR(I147*(1+IFERROR(J147,0)/100)*VLOOKUP(B147,'1. Articles (SKUs)'!E:N,10,FALSE),"")</f>
        <v/>
      </c>
      <c r="L147" s="14" t="inlineStr"/>
    </row>
    <row r="148">
      <c r="A148" s="9" t="inlineStr">
        <is>
          <t>FT4</t>
        </is>
      </c>
      <c r="B148" s="9" t="inlineStr">
        <is>
          <t>GPMP80</t>
        </is>
      </c>
      <c r="C148" s="9" t="inlineStr">
        <is>
          <t>FULL XL</t>
        </is>
      </c>
      <c r="D148" s="9" t="inlineStr">
        <is>
          <t>Polybag</t>
        </is>
      </c>
      <c r="E148" s="9" t="inlineStr">
        <is>
          <t>Bag material</t>
        </is>
      </c>
      <c r="F148" s="9" t="inlineStr">
        <is>
          <t>12S (Thickness)- Transparent PVC Bag with 7S(Thickness) White PVC White Binding all around seam and 3# Nylon Coil White Zipper(No Hanger Loop on top)</t>
        </is>
      </c>
      <c r="G148" s="9" t="inlineStr"/>
      <c r="H148" s="9" t="inlineStr"/>
      <c r="I148" s="10" t="n">
        <v>1</v>
      </c>
      <c r="J148" s="14" t="n">
        <v>2</v>
      </c>
      <c r="K148" s="13">
        <f>IFERROR(I148*(1+IFERROR(J148,0)/100)*VLOOKUP(B148,'1. Articles (SKUs)'!E:N,10,FALSE),"")</f>
        <v/>
      </c>
      <c r="L148" s="14" t="inlineStr"/>
    </row>
    <row r="149">
      <c r="A149" s="11" t="inlineStr">
        <is>
          <t>FT4</t>
        </is>
      </c>
      <c r="B149" s="11" t="inlineStr">
        <is>
          <t>GPMP80</t>
        </is>
      </c>
      <c r="C149" s="11" t="inlineStr">
        <is>
          <t>FULL XL</t>
        </is>
      </c>
      <c r="D149" s="11" t="inlineStr">
        <is>
          <t>Polybag</t>
        </is>
      </c>
      <c r="E149" s="11" t="inlineStr">
        <is>
          <t>Bag material</t>
        </is>
      </c>
      <c r="F149" s="11" t="inlineStr">
        <is>
          <t>Size – 3.5cm H X 11.5cm W, 0.35cm (Thickness) - PVC  Transparent Polybag with PP Transparent Plastic Hanger on Top, Bag opening at the bottom with automatic adhesive tape.( All PVC Materials need to use NON DEPH Substance to make the bag)</t>
        </is>
      </c>
      <c r="G149" s="11" t="inlineStr"/>
      <c r="H149" s="11" t="inlineStr"/>
      <c r="I149" s="10" t="n">
        <v>1</v>
      </c>
      <c r="J149" s="14" t="n">
        <v>2</v>
      </c>
      <c r="K149" s="13">
        <f>IFERROR(I149*(1+IFERROR(J149,0)/100)*VLOOKUP(B149,'1. Articles (SKUs)'!E:N,10,FALSE),"")</f>
        <v/>
      </c>
      <c r="L149" s="14" t="inlineStr"/>
    </row>
    <row r="150">
      <c r="A150" s="9" t="inlineStr">
        <is>
          <t>FT4</t>
        </is>
      </c>
      <c r="B150" s="9" t="inlineStr">
        <is>
          <t>GPMP80</t>
        </is>
      </c>
      <c r="C150" s="9" t="inlineStr">
        <is>
          <t>FULL XL</t>
        </is>
      </c>
      <c r="D150" s="9" t="inlineStr">
        <is>
          <t>Insert Card</t>
        </is>
      </c>
      <c r="E150" s="9" t="inlineStr">
        <is>
          <t>Color paper insert material</t>
        </is>
      </c>
      <c r="F150" s="9" t="inlineStr">
        <is>
          <t>Printed Insert quality -  INSERT (“U” Shape) - Insert Material: 250g-300g White Card Paper with Coating both side</t>
        </is>
      </c>
      <c r="G150" s="9" t="inlineStr"/>
      <c r="H150" s="9" t="inlineStr"/>
      <c r="I150" s="10" t="n">
        <v>1</v>
      </c>
      <c r="J150" s="14" t="n">
        <v>2</v>
      </c>
      <c r="K150" s="13">
        <f>IFERROR(I150*(1+IFERROR(J150,0)/100)*VLOOKUP(B150,'1. Articles (SKUs)'!E:N,10,FALSE),"")</f>
        <v/>
      </c>
      <c r="L150" s="14" t="inlineStr"/>
    </row>
    <row r="151">
      <c r="A151" s="11" t="inlineStr">
        <is>
          <t>FT4</t>
        </is>
      </c>
      <c r="B151" s="11" t="inlineStr">
        <is>
          <t>GPMP80</t>
        </is>
      </c>
      <c r="C151" s="11" t="inlineStr">
        <is>
          <t>FULL XL</t>
        </is>
      </c>
      <c r="D151" s="11" t="inlineStr">
        <is>
          <t>Insert Card</t>
        </is>
      </c>
      <c r="E151" s="11" t="inlineStr">
        <is>
          <t>Color paper insert material</t>
        </is>
      </c>
      <c r="F151" s="11" t="inlineStr">
        <is>
          <t>Printed Insert quality -  INSERT (“U” Shape) - Insert Material: 250g-300g White Card Paper with Coating both side</t>
        </is>
      </c>
      <c r="G151" s="11" t="inlineStr"/>
      <c r="H151" s="11" t="inlineStr"/>
      <c r="I151" s="10" t="n">
        <v>1</v>
      </c>
      <c r="J151" s="14" t="n">
        <v>2</v>
      </c>
      <c r="K151" s="13">
        <f>IFERROR(I151*(1+IFERROR(J151,0)/100)*VLOOKUP(B151,'1. Articles (SKUs)'!E:N,10,FALSE),"")</f>
        <v/>
      </c>
      <c r="L151" s="14" t="inlineStr"/>
    </row>
    <row r="152">
      <c r="A152" s="9" t="inlineStr">
        <is>
          <t>FT4</t>
        </is>
      </c>
      <c r="B152" s="9" t="inlineStr">
        <is>
          <t>GPMP80</t>
        </is>
      </c>
      <c r="C152" s="9" t="inlineStr">
        <is>
          <t>FULL XL</t>
        </is>
      </c>
      <c r="D152" s="9" t="inlineStr">
        <is>
          <t>Stiffener</t>
        </is>
      </c>
      <c r="E152" s="9" t="inlineStr">
        <is>
          <t>Cardboard material(Stiffener)</t>
        </is>
      </c>
      <c r="F152" s="9" t="inlineStr">
        <is>
          <t>Packaging inside need to put a “U”  1 ply thickness(1 layers with 1 layer corrugated ) in White Cardboard to maintain the shape before putting into the box</t>
        </is>
      </c>
      <c r="G152" s="9" t="inlineStr"/>
      <c r="H152" s="9" t="inlineStr"/>
      <c r="I152" s="10" t="n">
        <v>1</v>
      </c>
      <c r="J152" s="14" t="n">
        <v>2</v>
      </c>
      <c r="K152" s="13">
        <f>IFERROR(I152*(1+IFERROR(J152,0)/100)*VLOOKUP(B152,'1. Articles (SKUs)'!E:N,10,FALSE),"")</f>
        <v/>
      </c>
      <c r="L152" s="14" t="inlineStr"/>
    </row>
    <row r="153">
      <c r="A153" s="11" t="inlineStr">
        <is>
          <t>FT4</t>
        </is>
      </c>
      <c r="B153" s="11" t="inlineStr">
        <is>
          <t>GPMP80</t>
        </is>
      </c>
      <c r="C153" s="11" t="inlineStr">
        <is>
          <t>FULL XL</t>
        </is>
      </c>
      <c r="D153" s="11" t="inlineStr">
        <is>
          <t>Stiffener</t>
        </is>
      </c>
      <c r="E153" s="11" t="inlineStr">
        <is>
          <t>Cardboard material(Stiffener)</t>
        </is>
      </c>
      <c r="F153" s="11" t="inlineStr">
        <is>
          <t>White square card</t>
        </is>
      </c>
      <c r="G153" s="11" t="inlineStr"/>
      <c r="H153" s="11" t="inlineStr"/>
      <c r="I153" s="10" t="n">
        <v>1</v>
      </c>
      <c r="J153" s="14" t="n">
        <v>2</v>
      </c>
      <c r="K153" s="13">
        <f>IFERROR(I153*(1+IFERROR(J153,0)/100)*VLOOKUP(B153,'1. Articles (SKUs)'!E:N,10,FALSE),"")</f>
        <v/>
      </c>
      <c r="L153" s="14" t="inlineStr"/>
    </row>
    <row r="154">
      <c r="A154" s="9" t="inlineStr">
        <is>
          <t>FT4</t>
        </is>
      </c>
      <c r="B154" s="9" t="inlineStr">
        <is>
          <t>GPMP50</t>
        </is>
      </c>
      <c r="C154" s="9" t="inlineStr">
        <is>
          <t>QUEEN</t>
        </is>
      </c>
      <c r="D154" s="9" t="inlineStr">
        <is>
          <t>Label</t>
        </is>
      </c>
      <c r="E154" s="9" t="inlineStr">
        <is>
          <t>Non woven label with coating</t>
        </is>
      </c>
      <c r="F154" s="9" t="inlineStr">
        <is>
          <t>3M non woven material with white ground / black color font  (INK CANNOT DISCOLORATION AND STAIN ON PRODUCT)</t>
        </is>
      </c>
      <c r="G154" s="9" t="inlineStr">
        <is>
          <t>4.0cmX7.0cm</t>
        </is>
      </c>
      <c r="H154" s="9" t="inlineStr">
        <is>
          <t>Position of Law Tag label – Sewing at the middle of short side</t>
        </is>
      </c>
      <c r="I154" s="10" t="n">
        <v>1</v>
      </c>
      <c r="J154" s="14" t="n">
        <v>2</v>
      </c>
      <c r="K154" s="13">
        <f>IFERROR(I154*(1+IFERROR(J154,0)/100)*VLOOKUP(B154,'1. Articles (SKUs)'!E:N,10,FALSE),"")</f>
        <v/>
      </c>
      <c r="L154" s="14" t="inlineStr"/>
    </row>
    <row r="155">
      <c r="A155" s="11" t="inlineStr">
        <is>
          <t>FT4</t>
        </is>
      </c>
      <c r="B155" s="11" t="inlineStr">
        <is>
          <t>GPMP50</t>
        </is>
      </c>
      <c r="C155" s="11" t="inlineStr">
        <is>
          <t>QUEEN</t>
        </is>
      </c>
      <c r="D155" s="11" t="inlineStr">
        <is>
          <t>Label</t>
        </is>
      </c>
      <c r="E155" s="11" t="inlineStr">
        <is>
          <t>Non woven label with coating</t>
        </is>
      </c>
      <c r="F155" s="11" t="inlineStr">
        <is>
          <t>3M non woven material with white ground / black color font  (INK CANNOT DISCOLORATION AND STAIN ON PRODUCT)</t>
        </is>
      </c>
      <c r="G155" s="11" t="inlineStr">
        <is>
          <t>4.0cmX3.0cm</t>
        </is>
      </c>
      <c r="H155" s="11" t="inlineStr">
        <is>
          <t>Next the law tag label</t>
        </is>
      </c>
      <c r="I155" s="10" t="n">
        <v>1</v>
      </c>
      <c r="J155" s="14" t="n">
        <v>2</v>
      </c>
      <c r="K155" s="13">
        <f>IFERROR(I155*(1+IFERROR(J155,0)/100)*VLOOKUP(B155,'1. Articles (SKUs)'!E:N,10,FALSE),"")</f>
        <v/>
      </c>
      <c r="L155" s="14" t="inlineStr"/>
    </row>
    <row r="156">
      <c r="A156" s="9" t="inlineStr">
        <is>
          <t>FT4</t>
        </is>
      </c>
      <c r="B156" s="9" t="inlineStr">
        <is>
          <t>GPMP50</t>
        </is>
      </c>
      <c r="C156" s="9" t="inlineStr">
        <is>
          <t>QUEEN</t>
        </is>
      </c>
      <c r="D156" s="9" t="inlineStr">
        <is>
          <t>Label</t>
        </is>
      </c>
      <c r="E156" s="9" t="inlineStr">
        <is>
          <t>Non woven label with coating</t>
        </is>
      </c>
      <c r="F156" s="9" t="inlineStr">
        <is>
          <t>3M non woven material with white ground / black color font  (INK CANNOT DISCOLORATION AND STAIN ON PRODUCT)</t>
        </is>
      </c>
      <c r="G156" s="9" t="inlineStr">
        <is>
          <t>4cmX7cm</t>
        </is>
      </c>
      <c r="H156" s="9" t="inlineStr"/>
      <c r="I156" s="10" t="n">
        <v>1</v>
      </c>
      <c r="J156" s="14" t="n">
        <v>2</v>
      </c>
      <c r="K156" s="13">
        <f>IFERROR(I156*(1+IFERROR(J156,0)/100)*VLOOKUP(B156,'1. Articles (SKUs)'!E:N,10,FALSE),"")</f>
        <v/>
      </c>
      <c r="L156" s="14" t="inlineStr"/>
    </row>
    <row r="157">
      <c r="A157" s="11" t="inlineStr">
        <is>
          <t>FT4</t>
        </is>
      </c>
      <c r="B157" s="11" t="inlineStr">
        <is>
          <t>GPMP50</t>
        </is>
      </c>
      <c r="C157" s="11" t="inlineStr">
        <is>
          <t>QUEEN</t>
        </is>
      </c>
      <c r="D157" s="11" t="inlineStr">
        <is>
          <t>Label</t>
        </is>
      </c>
      <c r="E157" s="11" t="inlineStr">
        <is>
          <t>Non woven label with coating</t>
        </is>
      </c>
      <c r="F157" s="11" t="inlineStr">
        <is>
          <t>3M non woven material with white ground / black color font  (INK CANNOT DISCOLORATION AND STAIN ON PRODUCT)</t>
        </is>
      </c>
      <c r="G157" s="11" t="inlineStr">
        <is>
          <t>4.0cmX3.0cm</t>
        </is>
      </c>
      <c r="H157" s="11" t="inlineStr">
        <is>
          <t>Next the law tag label</t>
        </is>
      </c>
      <c r="I157" s="10" t="n">
        <v>1</v>
      </c>
      <c r="J157" s="14" t="n">
        <v>2</v>
      </c>
      <c r="K157" s="13">
        <f>IFERROR(I157*(1+IFERROR(J157,0)/100)*VLOOKUP(B157,'1. Articles (SKUs)'!E:N,10,FALSE),"")</f>
        <v/>
      </c>
      <c r="L157" s="14" t="inlineStr"/>
    </row>
    <row r="158">
      <c r="A158" s="9" t="inlineStr">
        <is>
          <t>FT4</t>
        </is>
      </c>
      <c r="B158" s="9" t="inlineStr">
        <is>
          <t>GPMP50</t>
        </is>
      </c>
      <c r="C158" s="9" t="inlineStr">
        <is>
          <t>QUEEN</t>
        </is>
      </c>
      <c r="D158" s="9" t="inlineStr">
        <is>
          <t>Packaging</t>
        </is>
      </c>
      <c r="E158" s="9" t="inlineStr">
        <is>
          <t>Packaging type</t>
        </is>
      </c>
      <c r="F158" s="9" t="inlineStr">
        <is>
          <t>Color paper insert with vinyl PVC Bag with white bound seam &amp; inside cardboard wrapped by product(Stiffener)</t>
        </is>
      </c>
      <c r="G158" s="9" t="inlineStr"/>
      <c r="H158" s="9" t="inlineStr"/>
      <c r="I158" s="10" t="n">
        <v>1</v>
      </c>
      <c r="J158" s="14" t="n">
        <v>2</v>
      </c>
      <c r="K158" s="13">
        <f>IFERROR(I158*(1+IFERROR(J158,0)/100)*VLOOKUP(B158,'1. Articles (SKUs)'!E:N,10,FALSE),"")</f>
        <v/>
      </c>
      <c r="L158" s="14" t="inlineStr"/>
    </row>
    <row r="159">
      <c r="A159" s="11" t="inlineStr">
        <is>
          <t>FT4</t>
        </is>
      </c>
      <c r="B159" s="11" t="inlineStr">
        <is>
          <t>GPMP50</t>
        </is>
      </c>
      <c r="C159" s="11" t="inlineStr">
        <is>
          <t>QUEEN</t>
        </is>
      </c>
      <c r="D159" s="11" t="inlineStr">
        <is>
          <t>Polybag</t>
        </is>
      </c>
      <c r="E159" s="11" t="inlineStr">
        <is>
          <t>Bag material</t>
        </is>
      </c>
      <c r="F159" s="11" t="inlineStr">
        <is>
          <t>12S (Thickness)- Transparent PVC Bag with 7S(Thickness) White PVC White Binding all around seam and 3# Nylon Coil White Zipper(No Hanger Loop on top)</t>
        </is>
      </c>
      <c r="G159" s="11" t="inlineStr"/>
      <c r="H159" s="11" t="inlineStr"/>
      <c r="I159" s="10" t="n">
        <v>1</v>
      </c>
      <c r="J159" s="14" t="n">
        <v>2</v>
      </c>
      <c r="K159" s="13">
        <f>IFERROR(I159*(1+IFERROR(J159,0)/100)*VLOOKUP(B159,'1. Articles (SKUs)'!E:N,10,FALSE),"")</f>
        <v/>
      </c>
      <c r="L159" s="14" t="inlineStr"/>
    </row>
    <row r="160">
      <c r="A160" s="9" t="inlineStr">
        <is>
          <t>FT4</t>
        </is>
      </c>
      <c r="B160" s="9" t="inlineStr">
        <is>
          <t>GPMP50</t>
        </is>
      </c>
      <c r="C160" s="9" t="inlineStr">
        <is>
          <t>QUEEN</t>
        </is>
      </c>
      <c r="D160" s="9" t="inlineStr">
        <is>
          <t>Polybag</t>
        </is>
      </c>
      <c r="E160" s="9" t="inlineStr">
        <is>
          <t>Bag material</t>
        </is>
      </c>
      <c r="F160" s="9" t="inlineStr">
        <is>
          <t>Size – 3.5cm H X 11.5cm W, 0.35cm (Thickness) - PVC  Transparent Polybag with PP Transparent Plastic Hanger on Top, Bag opening at the bottom with automatic adhesive tape.( All PVC Materials need to use NON DEPH Substance to make the bag)</t>
        </is>
      </c>
      <c r="G160" s="9" t="inlineStr"/>
      <c r="H160" s="9" t="inlineStr"/>
      <c r="I160" s="10" t="n">
        <v>1</v>
      </c>
      <c r="J160" s="14" t="n">
        <v>2</v>
      </c>
      <c r="K160" s="13">
        <f>IFERROR(I160*(1+IFERROR(J160,0)/100)*VLOOKUP(B160,'1. Articles (SKUs)'!E:N,10,FALSE),"")</f>
        <v/>
      </c>
      <c r="L160" s="14" t="inlineStr"/>
    </row>
    <row r="161">
      <c r="A161" s="11" t="inlineStr">
        <is>
          <t>FT4</t>
        </is>
      </c>
      <c r="B161" s="11" t="inlineStr">
        <is>
          <t>GPMP50</t>
        </is>
      </c>
      <c r="C161" s="11" t="inlineStr">
        <is>
          <t>QUEEN</t>
        </is>
      </c>
      <c r="D161" s="11" t="inlineStr">
        <is>
          <t>Insert Card</t>
        </is>
      </c>
      <c r="E161" s="11" t="inlineStr">
        <is>
          <t>Color paper insert material</t>
        </is>
      </c>
      <c r="F161" s="11" t="inlineStr">
        <is>
          <t>Printed Insert quality -  INSERT (“U” Shape) - Insert Material: 250g-300g White Card Paper with Coating both side</t>
        </is>
      </c>
      <c r="G161" s="11" t="inlineStr"/>
      <c r="H161" s="11" t="inlineStr"/>
      <c r="I161" s="10" t="n">
        <v>1</v>
      </c>
      <c r="J161" s="14" t="n">
        <v>2</v>
      </c>
      <c r="K161" s="13">
        <f>IFERROR(I161*(1+IFERROR(J161,0)/100)*VLOOKUP(B161,'1. Articles (SKUs)'!E:N,10,FALSE),"")</f>
        <v/>
      </c>
      <c r="L161" s="14" t="inlineStr"/>
    </row>
    <row r="162">
      <c r="A162" s="9" t="inlineStr">
        <is>
          <t>FT4</t>
        </is>
      </c>
      <c r="B162" s="9" t="inlineStr">
        <is>
          <t>GPMP50</t>
        </is>
      </c>
      <c r="C162" s="9" t="inlineStr">
        <is>
          <t>QUEEN</t>
        </is>
      </c>
      <c r="D162" s="9" t="inlineStr">
        <is>
          <t>Insert Card</t>
        </is>
      </c>
      <c r="E162" s="9" t="inlineStr">
        <is>
          <t>Color paper insert material</t>
        </is>
      </c>
      <c r="F162" s="9" t="inlineStr">
        <is>
          <t>Printed Insert quality -  INSERT (“U” Shape) - Insert Material: 250g-300g White Card Paper with Coating both side</t>
        </is>
      </c>
      <c r="G162" s="9" t="inlineStr"/>
      <c r="H162" s="9" t="inlineStr"/>
      <c r="I162" s="10" t="n">
        <v>1</v>
      </c>
      <c r="J162" s="14" t="n">
        <v>2</v>
      </c>
      <c r="K162" s="13">
        <f>IFERROR(I162*(1+IFERROR(J162,0)/100)*VLOOKUP(B162,'1. Articles (SKUs)'!E:N,10,FALSE),"")</f>
        <v/>
      </c>
      <c r="L162" s="14" t="inlineStr"/>
    </row>
    <row r="163">
      <c r="A163" s="11" t="inlineStr">
        <is>
          <t>FT4</t>
        </is>
      </c>
      <c r="B163" s="11" t="inlineStr">
        <is>
          <t>GPMP50</t>
        </is>
      </c>
      <c r="C163" s="11" t="inlineStr">
        <is>
          <t>QUEEN</t>
        </is>
      </c>
      <c r="D163" s="11" t="inlineStr">
        <is>
          <t>Stiffener</t>
        </is>
      </c>
      <c r="E163" s="11" t="inlineStr">
        <is>
          <t>Cardboard material(Stiffener)</t>
        </is>
      </c>
      <c r="F163" s="11" t="inlineStr">
        <is>
          <t>Packaging inside need to put a “U”  1 ply thickness(1 layers with 1 layer corrugated ) in White Cardboard to maintain the shape before putting into the box</t>
        </is>
      </c>
      <c r="G163" s="11" t="inlineStr"/>
      <c r="H163" s="11" t="inlineStr"/>
      <c r="I163" s="10" t="n">
        <v>1</v>
      </c>
      <c r="J163" s="14" t="n">
        <v>2</v>
      </c>
      <c r="K163" s="13">
        <f>IFERROR(I163*(1+IFERROR(J163,0)/100)*VLOOKUP(B163,'1. Articles (SKUs)'!E:N,10,FALSE),"")</f>
        <v/>
      </c>
      <c r="L163" s="14" t="inlineStr"/>
    </row>
    <row r="164">
      <c r="A164" s="9" t="inlineStr">
        <is>
          <t>FT4</t>
        </is>
      </c>
      <c r="B164" s="9" t="inlineStr">
        <is>
          <t>GPMP50</t>
        </is>
      </c>
      <c r="C164" s="9" t="inlineStr">
        <is>
          <t>QUEEN</t>
        </is>
      </c>
      <c r="D164" s="9" t="inlineStr">
        <is>
          <t>Stiffener</t>
        </is>
      </c>
      <c r="E164" s="9" t="inlineStr">
        <is>
          <t>Cardboard material(Stiffener)</t>
        </is>
      </c>
      <c r="F164" s="9" t="inlineStr">
        <is>
          <t>White square card</t>
        </is>
      </c>
      <c r="G164" s="9" t="inlineStr"/>
      <c r="H164" s="9" t="inlineStr"/>
      <c r="I164" s="10" t="n">
        <v>1</v>
      </c>
      <c r="J164" s="14" t="n">
        <v>2</v>
      </c>
      <c r="K164" s="13">
        <f>IFERROR(I164*(1+IFERROR(J164,0)/100)*VLOOKUP(B164,'1. Articles (SKUs)'!E:N,10,FALSE),"")</f>
        <v/>
      </c>
      <c r="L164" s="14" t="inlineStr"/>
    </row>
    <row r="165">
      <c r="A165" s="11" t="inlineStr">
        <is>
          <t>FT4</t>
        </is>
      </c>
      <c r="B165" s="11" t="inlineStr">
        <is>
          <t>GPMP78</t>
        </is>
      </c>
      <c r="C165" s="11" t="inlineStr">
        <is>
          <t>KING</t>
        </is>
      </c>
      <c r="D165" s="11" t="inlineStr">
        <is>
          <t>Label</t>
        </is>
      </c>
      <c r="E165" s="11" t="inlineStr">
        <is>
          <t>Non woven label with coating</t>
        </is>
      </c>
      <c r="F165" s="11" t="inlineStr">
        <is>
          <t>3M non woven material with white ground / black color font  (INK CANNOT DISCOLORATION AND STAIN ON PRODUCT)</t>
        </is>
      </c>
      <c r="G165" s="11" t="inlineStr">
        <is>
          <t>4.0cmX7.0cm</t>
        </is>
      </c>
      <c r="H165" s="11" t="inlineStr">
        <is>
          <t>Position of Law Tag label – Sewing at the middle of short side</t>
        </is>
      </c>
      <c r="I165" s="10" t="n">
        <v>1</v>
      </c>
      <c r="J165" s="14" t="n">
        <v>2</v>
      </c>
      <c r="K165" s="13">
        <f>IFERROR(I165*(1+IFERROR(J165,0)/100)*VLOOKUP(B165,'1. Articles (SKUs)'!E:N,10,FALSE),"")</f>
        <v/>
      </c>
      <c r="L165" s="14" t="inlineStr"/>
    </row>
    <row r="166">
      <c r="A166" s="9" t="inlineStr">
        <is>
          <t>FT4</t>
        </is>
      </c>
      <c r="B166" s="9" t="inlineStr">
        <is>
          <t>GPMP78</t>
        </is>
      </c>
      <c r="C166" s="9" t="inlineStr">
        <is>
          <t>KING</t>
        </is>
      </c>
      <c r="D166" s="9" t="inlineStr">
        <is>
          <t>Label</t>
        </is>
      </c>
      <c r="E166" s="9" t="inlineStr">
        <is>
          <t>Non woven label with coating</t>
        </is>
      </c>
      <c r="F166" s="9" t="inlineStr">
        <is>
          <t>3M non woven material with white ground / black color font  (INK CANNOT DISCOLORATION AND STAIN ON PRODUCT)</t>
        </is>
      </c>
      <c r="G166" s="9" t="inlineStr">
        <is>
          <t>4.0cmX3.0cm</t>
        </is>
      </c>
      <c r="H166" s="9" t="inlineStr">
        <is>
          <t>Next the law tag label</t>
        </is>
      </c>
      <c r="I166" s="10" t="n">
        <v>1</v>
      </c>
      <c r="J166" s="14" t="n">
        <v>2</v>
      </c>
      <c r="K166" s="13">
        <f>IFERROR(I166*(1+IFERROR(J166,0)/100)*VLOOKUP(B166,'1. Articles (SKUs)'!E:N,10,FALSE),"")</f>
        <v/>
      </c>
      <c r="L166" s="14" t="inlineStr"/>
    </row>
    <row r="167">
      <c r="A167" s="11" t="inlineStr">
        <is>
          <t>FT4</t>
        </is>
      </c>
      <c r="B167" s="11" t="inlineStr">
        <is>
          <t>GPMP78</t>
        </is>
      </c>
      <c r="C167" s="11" t="inlineStr">
        <is>
          <t>KING</t>
        </is>
      </c>
      <c r="D167" s="11" t="inlineStr">
        <is>
          <t>Label</t>
        </is>
      </c>
      <c r="E167" s="11" t="inlineStr">
        <is>
          <t>Non woven label with coating</t>
        </is>
      </c>
      <c r="F167" s="11" t="inlineStr">
        <is>
          <t>3M non woven material with white ground / black color font  (INK CANNOT DISCOLORATION AND STAIN ON PRODUCT)</t>
        </is>
      </c>
      <c r="G167" s="11" t="inlineStr">
        <is>
          <t>4cmX7cm</t>
        </is>
      </c>
      <c r="H167" s="11" t="inlineStr"/>
      <c r="I167" s="10" t="n">
        <v>1</v>
      </c>
      <c r="J167" s="14" t="n">
        <v>2</v>
      </c>
      <c r="K167" s="13">
        <f>IFERROR(I167*(1+IFERROR(J167,0)/100)*VLOOKUP(B167,'1. Articles (SKUs)'!E:N,10,FALSE),"")</f>
        <v/>
      </c>
      <c r="L167" s="14" t="inlineStr"/>
    </row>
    <row r="168">
      <c r="A168" s="9" t="inlineStr">
        <is>
          <t>FT4</t>
        </is>
      </c>
      <c r="B168" s="9" t="inlineStr">
        <is>
          <t>GPMP78</t>
        </is>
      </c>
      <c r="C168" s="9" t="inlineStr">
        <is>
          <t>KING</t>
        </is>
      </c>
      <c r="D168" s="9" t="inlineStr">
        <is>
          <t>Label</t>
        </is>
      </c>
      <c r="E168" s="9" t="inlineStr">
        <is>
          <t>Non woven label with coating</t>
        </is>
      </c>
      <c r="F168" s="9" t="inlineStr">
        <is>
          <t>3M non woven material with white ground / black color font  (INK CANNOT DISCOLORATION AND STAIN ON PRODUCT)</t>
        </is>
      </c>
      <c r="G168" s="9" t="inlineStr">
        <is>
          <t>4.0cmX3.0cm</t>
        </is>
      </c>
      <c r="H168" s="9" t="inlineStr">
        <is>
          <t>Next the law tag label</t>
        </is>
      </c>
      <c r="I168" s="10" t="n">
        <v>1</v>
      </c>
      <c r="J168" s="14" t="n">
        <v>2</v>
      </c>
      <c r="K168" s="13">
        <f>IFERROR(I168*(1+IFERROR(J168,0)/100)*VLOOKUP(B168,'1. Articles (SKUs)'!E:N,10,FALSE),"")</f>
        <v/>
      </c>
      <c r="L168" s="14" t="inlineStr"/>
    </row>
    <row r="169">
      <c r="A169" s="11" t="inlineStr">
        <is>
          <t>FT4</t>
        </is>
      </c>
      <c r="B169" s="11" t="inlineStr">
        <is>
          <t>GPMP78</t>
        </is>
      </c>
      <c r="C169" s="11" t="inlineStr">
        <is>
          <t>KING</t>
        </is>
      </c>
      <c r="D169" s="11" t="inlineStr">
        <is>
          <t>Packaging</t>
        </is>
      </c>
      <c r="E169" s="11" t="inlineStr">
        <is>
          <t>Packaging type</t>
        </is>
      </c>
      <c r="F169" s="11" t="inlineStr">
        <is>
          <t>Color paper insert with vinyl PVC Bag with white bound seam &amp; inside cardboard wrapped by product(Stiffener)</t>
        </is>
      </c>
      <c r="G169" s="11" t="inlineStr"/>
      <c r="H169" s="11" t="inlineStr"/>
      <c r="I169" s="10" t="n">
        <v>1</v>
      </c>
      <c r="J169" s="14" t="n">
        <v>2</v>
      </c>
      <c r="K169" s="13">
        <f>IFERROR(I169*(1+IFERROR(J169,0)/100)*VLOOKUP(B169,'1. Articles (SKUs)'!E:N,10,FALSE),"")</f>
        <v/>
      </c>
      <c r="L169" s="14" t="inlineStr"/>
    </row>
    <row r="170">
      <c r="A170" s="9" t="inlineStr">
        <is>
          <t>FT4</t>
        </is>
      </c>
      <c r="B170" s="9" t="inlineStr">
        <is>
          <t>GPMP78</t>
        </is>
      </c>
      <c r="C170" s="9" t="inlineStr">
        <is>
          <t>KING</t>
        </is>
      </c>
      <c r="D170" s="9" t="inlineStr">
        <is>
          <t>Polybag</t>
        </is>
      </c>
      <c r="E170" s="9" t="inlineStr">
        <is>
          <t>Bag material</t>
        </is>
      </c>
      <c r="F170" s="9" t="inlineStr">
        <is>
          <t>12S (Thickness)- Transparent PVC Bag with 7S(Thickness) White PVC White Binding all around seam and 3# Nylon Coil White Zipper(No Hanger Loop on top)</t>
        </is>
      </c>
      <c r="G170" s="9" t="inlineStr"/>
      <c r="H170" s="9" t="inlineStr"/>
      <c r="I170" s="10" t="n">
        <v>1</v>
      </c>
      <c r="J170" s="14" t="n">
        <v>2</v>
      </c>
      <c r="K170" s="13">
        <f>IFERROR(I170*(1+IFERROR(J170,0)/100)*VLOOKUP(B170,'1. Articles (SKUs)'!E:N,10,FALSE),"")</f>
        <v/>
      </c>
      <c r="L170" s="14" t="inlineStr"/>
    </row>
    <row r="171">
      <c r="A171" s="11" t="inlineStr">
        <is>
          <t>FT4</t>
        </is>
      </c>
      <c r="B171" s="11" t="inlineStr">
        <is>
          <t>GPMP78</t>
        </is>
      </c>
      <c r="C171" s="11" t="inlineStr">
        <is>
          <t>KING</t>
        </is>
      </c>
      <c r="D171" s="11" t="inlineStr">
        <is>
          <t>Polybag</t>
        </is>
      </c>
      <c r="E171" s="11" t="inlineStr">
        <is>
          <t>Bag material</t>
        </is>
      </c>
      <c r="F171" s="11" t="inlineStr">
        <is>
          <t>Size – 3.5cm H X 11.5cm W, 0.35cm (Thickness) - PVC  Transparent Polybag with PP Transparent Plastic Hanger on Top, Bag opening at the bottom with automatic adhesive tape.( All PVC Materials need to use NON DEPH Substance to make the bag)</t>
        </is>
      </c>
      <c r="G171" s="11" t="inlineStr"/>
      <c r="H171" s="11" t="inlineStr"/>
      <c r="I171" s="10" t="n">
        <v>1</v>
      </c>
      <c r="J171" s="14" t="n">
        <v>2</v>
      </c>
      <c r="K171" s="13">
        <f>IFERROR(I171*(1+IFERROR(J171,0)/100)*VLOOKUP(B171,'1. Articles (SKUs)'!E:N,10,FALSE),"")</f>
        <v/>
      </c>
      <c r="L171" s="14" t="inlineStr"/>
    </row>
    <row r="172">
      <c r="A172" s="9" t="inlineStr">
        <is>
          <t>FT4</t>
        </is>
      </c>
      <c r="B172" s="9" t="inlineStr">
        <is>
          <t>GPMP78</t>
        </is>
      </c>
      <c r="C172" s="9" t="inlineStr">
        <is>
          <t>KING</t>
        </is>
      </c>
      <c r="D172" s="9" t="inlineStr">
        <is>
          <t>Insert Card</t>
        </is>
      </c>
      <c r="E172" s="9" t="inlineStr">
        <is>
          <t>Color paper insert material</t>
        </is>
      </c>
      <c r="F172" s="9" t="inlineStr">
        <is>
          <t>Printed Insert quality -  INSERT (“U” Shape) - Insert Material: 250g-300g White Card Paper with Coating both side</t>
        </is>
      </c>
      <c r="G172" s="9" t="inlineStr"/>
      <c r="H172" s="9" t="inlineStr"/>
      <c r="I172" s="10" t="n">
        <v>1</v>
      </c>
      <c r="J172" s="14" t="n">
        <v>2</v>
      </c>
      <c r="K172" s="13">
        <f>IFERROR(I172*(1+IFERROR(J172,0)/100)*VLOOKUP(B172,'1. Articles (SKUs)'!E:N,10,FALSE),"")</f>
        <v/>
      </c>
      <c r="L172" s="14" t="inlineStr"/>
    </row>
    <row r="173">
      <c r="A173" s="11" t="inlineStr">
        <is>
          <t>FT4</t>
        </is>
      </c>
      <c r="B173" s="11" t="inlineStr">
        <is>
          <t>GPMP78</t>
        </is>
      </c>
      <c r="C173" s="11" t="inlineStr">
        <is>
          <t>KING</t>
        </is>
      </c>
      <c r="D173" s="11" t="inlineStr">
        <is>
          <t>Insert Card</t>
        </is>
      </c>
      <c r="E173" s="11" t="inlineStr">
        <is>
          <t>Color paper insert material</t>
        </is>
      </c>
      <c r="F173" s="11" t="inlineStr">
        <is>
          <t>Printed Insert quality -  INSERT (“U” Shape) - Insert Material: 250g-300g White Card Paper with Coating both side</t>
        </is>
      </c>
      <c r="G173" s="11" t="inlineStr"/>
      <c r="H173" s="11" t="inlineStr"/>
      <c r="I173" s="10" t="n">
        <v>1</v>
      </c>
      <c r="J173" s="14" t="n">
        <v>2</v>
      </c>
      <c r="K173" s="13">
        <f>IFERROR(I173*(1+IFERROR(J173,0)/100)*VLOOKUP(B173,'1. Articles (SKUs)'!E:N,10,FALSE),"")</f>
        <v/>
      </c>
      <c r="L173" s="14" t="inlineStr"/>
    </row>
    <row r="174">
      <c r="A174" s="9" t="inlineStr">
        <is>
          <t>FT4</t>
        </is>
      </c>
      <c r="B174" s="9" t="inlineStr">
        <is>
          <t>GPMP78</t>
        </is>
      </c>
      <c r="C174" s="9" t="inlineStr">
        <is>
          <t>KING</t>
        </is>
      </c>
      <c r="D174" s="9" t="inlineStr">
        <is>
          <t>Stiffener</t>
        </is>
      </c>
      <c r="E174" s="9" t="inlineStr">
        <is>
          <t>Cardboard material(Stiffener)</t>
        </is>
      </c>
      <c r="F174" s="9" t="inlineStr">
        <is>
          <t>Packaging inside need to put a “U”  1 ply thickness(1 layers with 1 layer corrugated ) in White Cardboard to maintain the shape before putting into the box</t>
        </is>
      </c>
      <c r="G174" s="9" t="inlineStr"/>
      <c r="H174" s="9" t="inlineStr"/>
      <c r="I174" s="10" t="n">
        <v>1</v>
      </c>
      <c r="J174" s="14" t="n">
        <v>2</v>
      </c>
      <c r="K174" s="13">
        <f>IFERROR(I174*(1+IFERROR(J174,0)/100)*VLOOKUP(B174,'1. Articles (SKUs)'!E:N,10,FALSE),"")</f>
        <v/>
      </c>
      <c r="L174" s="14" t="inlineStr"/>
    </row>
    <row r="175">
      <c r="A175" s="11" t="inlineStr">
        <is>
          <t>FT4</t>
        </is>
      </c>
      <c r="B175" s="11" t="inlineStr">
        <is>
          <t>GPMP78</t>
        </is>
      </c>
      <c r="C175" s="11" t="inlineStr">
        <is>
          <t>KING</t>
        </is>
      </c>
      <c r="D175" s="11" t="inlineStr">
        <is>
          <t>Stiffener</t>
        </is>
      </c>
      <c r="E175" s="11" t="inlineStr">
        <is>
          <t>Cardboard material(Stiffener)</t>
        </is>
      </c>
      <c r="F175" s="11" t="inlineStr">
        <is>
          <t>White square card</t>
        </is>
      </c>
      <c r="G175" s="11" t="inlineStr"/>
      <c r="H175" s="11" t="inlineStr"/>
      <c r="I175" s="10" t="n">
        <v>1</v>
      </c>
      <c r="J175" s="14" t="n">
        <v>2</v>
      </c>
      <c r="K175" s="13">
        <f>IFERROR(I175*(1+IFERROR(J175,0)/100)*VLOOKUP(B175,'1. Articles (SKUs)'!E:N,10,FALSE),"")</f>
        <v/>
      </c>
      <c r="L175" s="14" t="inlineStr"/>
    </row>
    <row r="176">
      <c r="A176" s="9" t="inlineStr">
        <is>
          <t>FT4</t>
        </is>
      </c>
      <c r="B176" s="9" t="inlineStr">
        <is>
          <t>GPMP72</t>
        </is>
      </c>
      <c r="C176" s="9" t="inlineStr">
        <is>
          <t>CAL KING</t>
        </is>
      </c>
      <c r="D176" s="9" t="inlineStr">
        <is>
          <t>Label</t>
        </is>
      </c>
      <c r="E176" s="9" t="inlineStr">
        <is>
          <t>Non woven label with coating</t>
        </is>
      </c>
      <c r="F176" s="9" t="inlineStr">
        <is>
          <t>3M non woven material with white ground / black color font  (INK CANNOT DISCOLORATION AND STAIN ON PRODUCT)</t>
        </is>
      </c>
      <c r="G176" s="9" t="inlineStr">
        <is>
          <t>4.0cmX7.0cm</t>
        </is>
      </c>
      <c r="H176" s="9" t="inlineStr">
        <is>
          <t>Position of Law Tag label – Sewing at the middle of short side</t>
        </is>
      </c>
      <c r="I176" s="10" t="n">
        <v>1</v>
      </c>
      <c r="J176" s="14" t="n">
        <v>2</v>
      </c>
      <c r="K176" s="13">
        <f>IFERROR(I176*(1+IFERROR(J176,0)/100)*VLOOKUP(B176,'1. Articles (SKUs)'!E:N,10,FALSE),"")</f>
        <v/>
      </c>
      <c r="L176" s="14" t="inlineStr"/>
    </row>
    <row r="177">
      <c r="A177" s="11" t="inlineStr">
        <is>
          <t>FT4</t>
        </is>
      </c>
      <c r="B177" s="11" t="inlineStr">
        <is>
          <t>GPMP72</t>
        </is>
      </c>
      <c r="C177" s="11" t="inlineStr">
        <is>
          <t>CAL KING</t>
        </is>
      </c>
      <c r="D177" s="11" t="inlineStr">
        <is>
          <t>Label</t>
        </is>
      </c>
      <c r="E177" s="11" t="inlineStr">
        <is>
          <t>Non woven label with coating</t>
        </is>
      </c>
      <c r="F177" s="11" t="inlineStr">
        <is>
          <t>3M non woven material with white ground / black color font  (INK CANNOT DISCOLORATION AND STAIN ON PRODUCT)</t>
        </is>
      </c>
      <c r="G177" s="11" t="inlineStr">
        <is>
          <t>4.0cmX3.0cm</t>
        </is>
      </c>
      <c r="H177" s="11" t="inlineStr">
        <is>
          <t>Next the law tag label</t>
        </is>
      </c>
      <c r="I177" s="10" t="n">
        <v>1</v>
      </c>
      <c r="J177" s="14" t="n">
        <v>2</v>
      </c>
      <c r="K177" s="13">
        <f>IFERROR(I177*(1+IFERROR(J177,0)/100)*VLOOKUP(B177,'1. Articles (SKUs)'!E:N,10,FALSE),"")</f>
        <v/>
      </c>
      <c r="L177" s="14" t="inlineStr"/>
    </row>
    <row r="178">
      <c r="A178" s="9" t="inlineStr">
        <is>
          <t>FT4</t>
        </is>
      </c>
      <c r="B178" s="9" t="inlineStr">
        <is>
          <t>GPMP72</t>
        </is>
      </c>
      <c r="C178" s="9" t="inlineStr">
        <is>
          <t>CAL KING</t>
        </is>
      </c>
      <c r="D178" s="9" t="inlineStr">
        <is>
          <t>Label</t>
        </is>
      </c>
      <c r="E178" s="9" t="inlineStr">
        <is>
          <t>Non woven label with coating</t>
        </is>
      </c>
      <c r="F178" s="9" t="inlineStr">
        <is>
          <t>3M non woven material with white ground / black color font  (INK CANNOT DISCOLORATION AND STAIN ON PRODUCT)</t>
        </is>
      </c>
      <c r="G178" s="9" t="inlineStr">
        <is>
          <t>4cmX7cm</t>
        </is>
      </c>
      <c r="H178" s="9" t="inlineStr"/>
      <c r="I178" s="10" t="n">
        <v>1</v>
      </c>
      <c r="J178" s="14" t="n">
        <v>2</v>
      </c>
      <c r="K178" s="13">
        <f>IFERROR(I178*(1+IFERROR(J178,0)/100)*VLOOKUP(B178,'1. Articles (SKUs)'!E:N,10,FALSE),"")</f>
        <v/>
      </c>
      <c r="L178" s="14" t="inlineStr"/>
    </row>
    <row r="179">
      <c r="A179" s="11" t="inlineStr">
        <is>
          <t>FT4</t>
        </is>
      </c>
      <c r="B179" s="11" t="inlineStr">
        <is>
          <t>GPMP72</t>
        </is>
      </c>
      <c r="C179" s="11" t="inlineStr">
        <is>
          <t>CAL KING</t>
        </is>
      </c>
      <c r="D179" s="11" t="inlineStr">
        <is>
          <t>Label</t>
        </is>
      </c>
      <c r="E179" s="11" t="inlineStr">
        <is>
          <t>Non woven label with coating</t>
        </is>
      </c>
      <c r="F179" s="11" t="inlineStr">
        <is>
          <t>3M non woven material with white ground / black color font  (INK CANNOT DISCOLORATION AND STAIN ON PRODUCT)</t>
        </is>
      </c>
      <c r="G179" s="11" t="inlineStr">
        <is>
          <t>4.0cmX3.0cm</t>
        </is>
      </c>
      <c r="H179" s="11" t="inlineStr">
        <is>
          <t>Next the law tag label</t>
        </is>
      </c>
      <c r="I179" s="10" t="n">
        <v>1</v>
      </c>
      <c r="J179" s="14" t="n">
        <v>2</v>
      </c>
      <c r="K179" s="13">
        <f>IFERROR(I179*(1+IFERROR(J179,0)/100)*VLOOKUP(B179,'1. Articles (SKUs)'!E:N,10,FALSE),"")</f>
        <v/>
      </c>
      <c r="L179" s="14" t="inlineStr"/>
    </row>
    <row r="180">
      <c r="A180" s="9" t="inlineStr">
        <is>
          <t>FT4</t>
        </is>
      </c>
      <c r="B180" s="9" t="inlineStr">
        <is>
          <t>GPMP72</t>
        </is>
      </c>
      <c r="C180" s="9" t="inlineStr">
        <is>
          <t>CAL KING</t>
        </is>
      </c>
      <c r="D180" s="9" t="inlineStr">
        <is>
          <t>Packaging</t>
        </is>
      </c>
      <c r="E180" s="9" t="inlineStr">
        <is>
          <t>Packaging type</t>
        </is>
      </c>
      <c r="F180" s="9" t="inlineStr">
        <is>
          <t>Color paper insert with vinyl PVC Bag with white bound seam &amp; inside cardboard wrapped by product(Stiffener)</t>
        </is>
      </c>
      <c r="G180" s="9" t="inlineStr"/>
      <c r="H180" s="9" t="inlineStr"/>
      <c r="I180" s="10" t="n">
        <v>1</v>
      </c>
      <c r="J180" s="14" t="n">
        <v>2</v>
      </c>
      <c r="K180" s="13">
        <f>IFERROR(I180*(1+IFERROR(J180,0)/100)*VLOOKUP(B180,'1. Articles (SKUs)'!E:N,10,FALSE),"")</f>
        <v/>
      </c>
      <c r="L180" s="14" t="inlineStr"/>
    </row>
    <row r="181">
      <c r="A181" s="11" t="inlineStr">
        <is>
          <t>FT4</t>
        </is>
      </c>
      <c r="B181" s="11" t="inlineStr">
        <is>
          <t>GPMP72</t>
        </is>
      </c>
      <c r="C181" s="11" t="inlineStr">
        <is>
          <t>CAL KING</t>
        </is>
      </c>
      <c r="D181" s="11" t="inlineStr">
        <is>
          <t>Polybag</t>
        </is>
      </c>
      <c r="E181" s="11" t="inlineStr">
        <is>
          <t>Bag material</t>
        </is>
      </c>
      <c r="F181" s="11" t="inlineStr">
        <is>
          <t>12S (Thickness)- Transparent PVC Bag with 7S(Thickness) White PVC White Binding all around seam and 3# Nylon Coil White Zipper(No Hanger Loop on top)</t>
        </is>
      </c>
      <c r="G181" s="11" t="inlineStr"/>
      <c r="H181" s="11" t="inlineStr"/>
      <c r="I181" s="10" t="n">
        <v>1</v>
      </c>
      <c r="J181" s="14" t="n">
        <v>2</v>
      </c>
      <c r="K181" s="13">
        <f>IFERROR(I181*(1+IFERROR(J181,0)/100)*VLOOKUP(B181,'1. Articles (SKUs)'!E:N,10,FALSE),"")</f>
        <v/>
      </c>
      <c r="L181" s="14" t="inlineStr"/>
    </row>
    <row r="182">
      <c r="A182" s="9" t="inlineStr">
        <is>
          <t>FT4</t>
        </is>
      </c>
      <c r="B182" s="9" t="inlineStr">
        <is>
          <t>GPMP72</t>
        </is>
      </c>
      <c r="C182" s="9" t="inlineStr">
        <is>
          <t>CAL KING</t>
        </is>
      </c>
      <c r="D182" s="9" t="inlineStr">
        <is>
          <t>Polybag</t>
        </is>
      </c>
      <c r="E182" s="9" t="inlineStr">
        <is>
          <t>Bag material</t>
        </is>
      </c>
      <c r="F182" s="9" t="inlineStr">
        <is>
          <t>Size – 3.5cm H X 11.5cm W, 0.35cm (Thickness) - PVC  Transparent Polybag with PP Transparent Plastic Hanger on Top, Bag opening at the bottom with automatic adhesive tape.( All PVC Materials need to use NON DEPH Substance to make the bag)</t>
        </is>
      </c>
      <c r="G182" s="9" t="inlineStr"/>
      <c r="H182" s="9" t="inlineStr"/>
      <c r="I182" s="10" t="n">
        <v>1</v>
      </c>
      <c r="J182" s="14" t="n">
        <v>2</v>
      </c>
      <c r="K182" s="13">
        <f>IFERROR(I182*(1+IFERROR(J182,0)/100)*VLOOKUP(B182,'1. Articles (SKUs)'!E:N,10,FALSE),"")</f>
        <v/>
      </c>
      <c r="L182" s="14" t="inlineStr"/>
    </row>
    <row r="183">
      <c r="A183" s="11" t="inlineStr">
        <is>
          <t>FT4</t>
        </is>
      </c>
      <c r="B183" s="11" t="inlineStr">
        <is>
          <t>GPMP72</t>
        </is>
      </c>
      <c r="C183" s="11" t="inlineStr">
        <is>
          <t>CAL KING</t>
        </is>
      </c>
      <c r="D183" s="11" t="inlineStr">
        <is>
          <t>Insert Card</t>
        </is>
      </c>
      <c r="E183" s="11" t="inlineStr">
        <is>
          <t>Color paper insert material</t>
        </is>
      </c>
      <c r="F183" s="11" t="inlineStr">
        <is>
          <t>Printed Insert quality -  INSERT (“U” Shape) - Insert Material: 250g-300g White Card Paper with Coating both side</t>
        </is>
      </c>
      <c r="G183" s="11" t="inlineStr"/>
      <c r="H183" s="11" t="inlineStr"/>
      <c r="I183" s="10" t="n">
        <v>1</v>
      </c>
      <c r="J183" s="14" t="n">
        <v>2</v>
      </c>
      <c r="K183" s="13">
        <f>IFERROR(I183*(1+IFERROR(J183,0)/100)*VLOOKUP(B183,'1. Articles (SKUs)'!E:N,10,FALSE),"")</f>
        <v/>
      </c>
      <c r="L183" s="14" t="inlineStr"/>
    </row>
    <row r="184">
      <c r="A184" s="9" t="inlineStr">
        <is>
          <t>FT4</t>
        </is>
      </c>
      <c r="B184" s="9" t="inlineStr">
        <is>
          <t>GPMP72</t>
        </is>
      </c>
      <c r="C184" s="9" t="inlineStr">
        <is>
          <t>CAL KING</t>
        </is>
      </c>
      <c r="D184" s="9" t="inlineStr">
        <is>
          <t>Insert Card</t>
        </is>
      </c>
      <c r="E184" s="9" t="inlineStr">
        <is>
          <t>Color paper insert material</t>
        </is>
      </c>
      <c r="F184" s="9" t="inlineStr">
        <is>
          <t>Printed Insert quality -  INSERT (“U” Shape) - Insert Material: 250g-300g White Card Paper with Coating both side</t>
        </is>
      </c>
      <c r="G184" s="9" t="inlineStr"/>
      <c r="H184" s="9" t="inlineStr"/>
      <c r="I184" s="10" t="n">
        <v>1</v>
      </c>
      <c r="J184" s="14" t="n">
        <v>2</v>
      </c>
      <c r="K184" s="13">
        <f>IFERROR(I184*(1+IFERROR(J184,0)/100)*VLOOKUP(B184,'1. Articles (SKUs)'!E:N,10,FALSE),"")</f>
        <v/>
      </c>
      <c r="L184" s="14" t="inlineStr"/>
    </row>
    <row r="185">
      <c r="A185" s="11" t="inlineStr">
        <is>
          <t>FT4</t>
        </is>
      </c>
      <c r="B185" s="11" t="inlineStr">
        <is>
          <t>GPMP72</t>
        </is>
      </c>
      <c r="C185" s="11" t="inlineStr">
        <is>
          <t>CAL KING</t>
        </is>
      </c>
      <c r="D185" s="11" t="inlineStr">
        <is>
          <t>Stiffener</t>
        </is>
      </c>
      <c r="E185" s="11" t="inlineStr">
        <is>
          <t>Cardboard material(Stiffener)</t>
        </is>
      </c>
      <c r="F185" s="11" t="inlineStr">
        <is>
          <t>Packaging inside need to put a “U”  1 ply thickness(1 layers with 1 layer corrugated ) in White Cardboard to maintain the shape before putting into the box</t>
        </is>
      </c>
      <c r="G185" s="11" t="inlineStr"/>
      <c r="H185" s="11" t="inlineStr"/>
      <c r="I185" s="10" t="n">
        <v>1</v>
      </c>
      <c r="J185" s="14" t="n">
        <v>2</v>
      </c>
      <c r="K185" s="13">
        <f>IFERROR(I185*(1+IFERROR(J185,0)/100)*VLOOKUP(B185,'1. Articles (SKUs)'!E:N,10,FALSE),"")</f>
        <v/>
      </c>
      <c r="L185" s="14" t="inlineStr"/>
    </row>
    <row r="186">
      <c r="A186" s="9" t="inlineStr">
        <is>
          <t>FT4</t>
        </is>
      </c>
      <c r="B186" s="9" t="inlineStr">
        <is>
          <t>GPMP72</t>
        </is>
      </c>
      <c r="C186" s="9" t="inlineStr">
        <is>
          <t>CAL KING</t>
        </is>
      </c>
      <c r="D186" s="9" t="inlineStr">
        <is>
          <t>Stiffener</t>
        </is>
      </c>
      <c r="E186" s="9" t="inlineStr">
        <is>
          <t>Cardboard material(Stiffener)</t>
        </is>
      </c>
      <c r="F186" s="9" t="inlineStr">
        <is>
          <t>White square card</t>
        </is>
      </c>
      <c r="G186" s="9" t="inlineStr"/>
      <c r="H186" s="9" t="inlineStr"/>
      <c r="I186" s="10" t="n">
        <v>1</v>
      </c>
      <c r="J186" s="14" t="n">
        <v>2</v>
      </c>
      <c r="K186" s="13">
        <f>IFERROR(I186*(1+IFERROR(J186,0)/100)*VLOOKUP(B186,'1. Articles (SKUs)'!E:N,10,FALSE),"")</f>
        <v/>
      </c>
      <c r="L186" s="14" t="inlineStr"/>
    </row>
    <row r="187">
      <c r="A187" s="11" t="inlineStr">
        <is>
          <t>FT4</t>
        </is>
      </c>
      <c r="B187" s="11" t="inlineStr">
        <is>
          <t>GPMP36</t>
        </is>
      </c>
      <c r="C187" s="11" t="inlineStr">
        <is>
          <t>SPLIT CAL KING</t>
        </is>
      </c>
      <c r="D187" s="11" t="inlineStr">
        <is>
          <t>Label</t>
        </is>
      </c>
      <c r="E187" s="11" t="inlineStr">
        <is>
          <t>Non woven label with coating</t>
        </is>
      </c>
      <c r="F187" s="11" t="inlineStr">
        <is>
          <t>3M non woven material with white ground / black color font  (INK CANNOT DISCOLORATION AND STAIN ON PRODUCT)</t>
        </is>
      </c>
      <c r="G187" s="11" t="inlineStr">
        <is>
          <t>4.0cmX7.0cm</t>
        </is>
      </c>
      <c r="H187" s="11" t="inlineStr">
        <is>
          <t>Position of Law Tag label – Sewing at the middle of short side</t>
        </is>
      </c>
      <c r="I187" s="10" t="n">
        <v>1</v>
      </c>
      <c r="J187" s="14" t="n">
        <v>2</v>
      </c>
      <c r="K187" s="13">
        <f>IFERROR(I187*(1+IFERROR(J187,0)/100)*VLOOKUP(B187,'1. Articles (SKUs)'!E:N,10,FALSE),"")</f>
        <v/>
      </c>
      <c r="L187" s="14" t="inlineStr"/>
    </row>
    <row r="188">
      <c r="A188" s="9" t="inlineStr">
        <is>
          <t>FT4</t>
        </is>
      </c>
      <c r="B188" s="9" t="inlineStr">
        <is>
          <t>GPMP36</t>
        </is>
      </c>
      <c r="C188" s="9" t="inlineStr">
        <is>
          <t>SPLIT CAL KING</t>
        </is>
      </c>
      <c r="D188" s="9" t="inlineStr">
        <is>
          <t>Label</t>
        </is>
      </c>
      <c r="E188" s="9" t="inlineStr">
        <is>
          <t>Non woven label with coating</t>
        </is>
      </c>
      <c r="F188" s="9" t="inlineStr">
        <is>
          <t>3M non woven material with white ground / black color font  (INK CANNOT DISCOLORATION AND STAIN ON PRODUCT)</t>
        </is>
      </c>
      <c r="G188" s="9" t="inlineStr">
        <is>
          <t>4.0cmX3.0cm</t>
        </is>
      </c>
      <c r="H188" s="9" t="inlineStr">
        <is>
          <t>Next the law tag label</t>
        </is>
      </c>
      <c r="I188" s="10" t="n">
        <v>1</v>
      </c>
      <c r="J188" s="14" t="n">
        <v>2</v>
      </c>
      <c r="K188" s="13">
        <f>IFERROR(I188*(1+IFERROR(J188,0)/100)*VLOOKUP(B188,'1. Articles (SKUs)'!E:N,10,FALSE),"")</f>
        <v/>
      </c>
      <c r="L188" s="14" t="inlineStr"/>
    </row>
    <row r="189">
      <c r="A189" s="11" t="inlineStr">
        <is>
          <t>FT4</t>
        </is>
      </c>
      <c r="B189" s="11" t="inlineStr">
        <is>
          <t>GPMP36</t>
        </is>
      </c>
      <c r="C189" s="11" t="inlineStr">
        <is>
          <t>SPLIT CAL KING</t>
        </is>
      </c>
      <c r="D189" s="11" t="inlineStr">
        <is>
          <t>Label</t>
        </is>
      </c>
      <c r="E189" s="11" t="inlineStr">
        <is>
          <t>Non woven label with coating</t>
        </is>
      </c>
      <c r="F189" s="11" t="inlineStr">
        <is>
          <t>3M non woven material with white ground / black color font  (INK CANNOT DISCOLORATION AND STAIN ON PRODUCT)</t>
        </is>
      </c>
      <c r="G189" s="11" t="inlineStr">
        <is>
          <t>4cmX7cm</t>
        </is>
      </c>
      <c r="H189" s="11" t="inlineStr"/>
      <c r="I189" s="10" t="n">
        <v>1</v>
      </c>
      <c r="J189" s="14" t="n">
        <v>2</v>
      </c>
      <c r="K189" s="13">
        <f>IFERROR(I189*(1+IFERROR(J189,0)/100)*VLOOKUP(B189,'1. Articles (SKUs)'!E:N,10,FALSE),"")</f>
        <v/>
      </c>
      <c r="L189" s="14" t="inlineStr"/>
    </row>
    <row r="190">
      <c r="A190" s="9" t="inlineStr">
        <is>
          <t>FT4</t>
        </is>
      </c>
      <c r="B190" s="9" t="inlineStr">
        <is>
          <t>GPMP36</t>
        </is>
      </c>
      <c r="C190" s="9" t="inlineStr">
        <is>
          <t>SPLIT CAL KING</t>
        </is>
      </c>
      <c r="D190" s="9" t="inlineStr">
        <is>
          <t>Label</t>
        </is>
      </c>
      <c r="E190" s="9" t="inlineStr">
        <is>
          <t>Non woven label with coating</t>
        </is>
      </c>
      <c r="F190" s="9" t="inlineStr">
        <is>
          <t>3M non woven material with white ground / black color font  (INK CANNOT DISCOLORATION AND STAIN ON PRODUCT)</t>
        </is>
      </c>
      <c r="G190" s="9" t="inlineStr">
        <is>
          <t>4.0cmX3.0cm</t>
        </is>
      </c>
      <c r="H190" s="9" t="inlineStr">
        <is>
          <t>Next the law tag label</t>
        </is>
      </c>
      <c r="I190" s="10" t="n">
        <v>1</v>
      </c>
      <c r="J190" s="14" t="n">
        <v>2</v>
      </c>
      <c r="K190" s="13">
        <f>IFERROR(I190*(1+IFERROR(J190,0)/100)*VLOOKUP(B190,'1. Articles (SKUs)'!E:N,10,FALSE),"")</f>
        <v/>
      </c>
      <c r="L190" s="14" t="inlineStr"/>
    </row>
    <row r="191">
      <c r="A191" s="11" t="inlineStr">
        <is>
          <t>FT4</t>
        </is>
      </c>
      <c r="B191" s="11" t="inlineStr">
        <is>
          <t>GPMP36</t>
        </is>
      </c>
      <c r="C191" s="11" t="inlineStr">
        <is>
          <t>SPLIT CAL KING</t>
        </is>
      </c>
      <c r="D191" s="11" t="inlineStr">
        <is>
          <t>Packaging</t>
        </is>
      </c>
      <c r="E191" s="11" t="inlineStr">
        <is>
          <t>Packaging type</t>
        </is>
      </c>
      <c r="F191" s="11" t="inlineStr">
        <is>
          <t>Color paper insert with vinyl PVC Bag with white bound seam &amp; inside cardboard wrapped by product(Stiffener)</t>
        </is>
      </c>
      <c r="G191" s="11" t="inlineStr"/>
      <c r="H191" s="11" t="inlineStr"/>
      <c r="I191" s="10" t="n">
        <v>1</v>
      </c>
      <c r="J191" s="14" t="n">
        <v>2</v>
      </c>
      <c r="K191" s="13">
        <f>IFERROR(I191*(1+IFERROR(J191,0)/100)*VLOOKUP(B191,'1. Articles (SKUs)'!E:N,10,FALSE),"")</f>
        <v/>
      </c>
      <c r="L191" s="14" t="inlineStr"/>
    </row>
    <row r="192">
      <c r="A192" s="9" t="inlineStr">
        <is>
          <t>FT4</t>
        </is>
      </c>
      <c r="B192" s="9" t="inlineStr">
        <is>
          <t>GPMP36</t>
        </is>
      </c>
      <c r="C192" s="9" t="inlineStr">
        <is>
          <t>SPLIT CAL KING</t>
        </is>
      </c>
      <c r="D192" s="9" t="inlineStr">
        <is>
          <t>Polybag</t>
        </is>
      </c>
      <c r="E192" s="9" t="inlineStr">
        <is>
          <t>Bag material</t>
        </is>
      </c>
      <c r="F192" s="9" t="inlineStr">
        <is>
          <t>12S (Thickness)- Transparent PVC Bag with 7S(Thickness) White PVC White Binding all around seam and 3# Nylon Coil White Zipper(No Hanger Loop on top)</t>
        </is>
      </c>
      <c r="G192" s="9" t="inlineStr"/>
      <c r="H192" s="9" t="inlineStr"/>
      <c r="I192" s="10" t="n">
        <v>1</v>
      </c>
      <c r="J192" s="14" t="n">
        <v>2</v>
      </c>
      <c r="K192" s="13">
        <f>IFERROR(I192*(1+IFERROR(J192,0)/100)*VLOOKUP(B192,'1. Articles (SKUs)'!E:N,10,FALSE),"")</f>
        <v/>
      </c>
      <c r="L192" s="14" t="inlineStr"/>
    </row>
    <row r="193">
      <c r="A193" s="11" t="inlineStr">
        <is>
          <t>FT4</t>
        </is>
      </c>
      <c r="B193" s="11" t="inlineStr">
        <is>
          <t>GPMP36</t>
        </is>
      </c>
      <c r="C193" s="11" t="inlineStr">
        <is>
          <t>SPLIT CAL KING</t>
        </is>
      </c>
      <c r="D193" s="11" t="inlineStr">
        <is>
          <t>Polybag</t>
        </is>
      </c>
      <c r="E193" s="11" t="inlineStr">
        <is>
          <t>Bag material</t>
        </is>
      </c>
      <c r="F193" s="11" t="inlineStr">
        <is>
          <t>Size – 3.5cm H X 11.5cm W, 0.35cm (Thickness) - PVC  Transparent Polybag with PP Transparent Plastic Hanger on Top, Bag opening at the bottom with automatic adhesive tape.( All PVC Materials need to use NON DEPH Substance to make the bag)</t>
        </is>
      </c>
      <c r="G193" s="11" t="inlineStr"/>
      <c r="H193" s="11" t="inlineStr"/>
      <c r="I193" s="10" t="n">
        <v>1</v>
      </c>
      <c r="J193" s="14" t="n">
        <v>2</v>
      </c>
      <c r="K193" s="13">
        <f>IFERROR(I193*(1+IFERROR(J193,0)/100)*VLOOKUP(B193,'1. Articles (SKUs)'!E:N,10,FALSE),"")</f>
        <v/>
      </c>
      <c r="L193" s="14" t="inlineStr"/>
    </row>
    <row r="194">
      <c r="A194" s="9" t="inlineStr">
        <is>
          <t>FT4</t>
        </is>
      </c>
      <c r="B194" s="9" t="inlineStr">
        <is>
          <t>GPMP36</t>
        </is>
      </c>
      <c r="C194" s="9" t="inlineStr">
        <is>
          <t>SPLIT CAL KING</t>
        </is>
      </c>
      <c r="D194" s="9" t="inlineStr">
        <is>
          <t>Insert Card</t>
        </is>
      </c>
      <c r="E194" s="9" t="inlineStr">
        <is>
          <t>Color paper insert material</t>
        </is>
      </c>
      <c r="F194" s="9" t="inlineStr">
        <is>
          <t>Printed Insert quality -  INSERT (“U” Shape) - Insert Material: 250g-300g White Card Paper with Coating both side</t>
        </is>
      </c>
      <c r="G194" s="9" t="inlineStr"/>
      <c r="H194" s="9" t="inlineStr"/>
      <c r="I194" s="10" t="n">
        <v>1</v>
      </c>
      <c r="J194" s="14" t="n">
        <v>2</v>
      </c>
      <c r="K194" s="13">
        <f>IFERROR(I194*(1+IFERROR(J194,0)/100)*VLOOKUP(B194,'1. Articles (SKUs)'!E:N,10,FALSE),"")</f>
        <v/>
      </c>
      <c r="L194" s="14" t="inlineStr"/>
    </row>
    <row r="195">
      <c r="A195" s="11" t="inlineStr">
        <is>
          <t>FT4</t>
        </is>
      </c>
      <c r="B195" s="11" t="inlineStr">
        <is>
          <t>GPMP36</t>
        </is>
      </c>
      <c r="C195" s="11" t="inlineStr">
        <is>
          <t>SPLIT CAL KING</t>
        </is>
      </c>
      <c r="D195" s="11" t="inlineStr">
        <is>
          <t>Insert Card</t>
        </is>
      </c>
      <c r="E195" s="11" t="inlineStr">
        <is>
          <t>Color paper insert material</t>
        </is>
      </c>
      <c r="F195" s="11" t="inlineStr">
        <is>
          <t>Printed Insert quality -  INSERT (“U” Shape) - Insert Material: 250g-300g White Card Paper with Coating both side</t>
        </is>
      </c>
      <c r="G195" s="11" t="inlineStr"/>
      <c r="H195" s="11" t="inlineStr"/>
      <c r="I195" s="10" t="n">
        <v>1</v>
      </c>
      <c r="J195" s="14" t="n">
        <v>2</v>
      </c>
      <c r="K195" s="13">
        <f>IFERROR(I195*(1+IFERROR(J195,0)/100)*VLOOKUP(B195,'1. Articles (SKUs)'!E:N,10,FALSE),"")</f>
        <v/>
      </c>
      <c r="L195" s="14" t="inlineStr"/>
    </row>
    <row r="196">
      <c r="A196" s="9" t="inlineStr">
        <is>
          <t>FT4</t>
        </is>
      </c>
      <c r="B196" s="9" t="inlineStr">
        <is>
          <t>GPMP36</t>
        </is>
      </c>
      <c r="C196" s="9" t="inlineStr">
        <is>
          <t>SPLIT CAL KING</t>
        </is>
      </c>
      <c r="D196" s="9" t="inlineStr">
        <is>
          <t>Stiffener</t>
        </is>
      </c>
      <c r="E196" s="9" t="inlineStr">
        <is>
          <t>Cardboard material(Stiffener)</t>
        </is>
      </c>
      <c r="F196" s="9" t="inlineStr">
        <is>
          <t>Packaging inside need to put a “U”  1 ply thickness(1 layers with 1 layer corrugated ) in White Cardboard to maintain the shape before putting into the box</t>
        </is>
      </c>
      <c r="G196" s="9" t="inlineStr"/>
      <c r="H196" s="9" t="inlineStr"/>
      <c r="I196" s="10" t="n">
        <v>1</v>
      </c>
      <c r="J196" s="14" t="n">
        <v>2</v>
      </c>
      <c r="K196" s="13">
        <f>IFERROR(I196*(1+IFERROR(J196,0)/100)*VLOOKUP(B196,'1. Articles (SKUs)'!E:N,10,FALSE),"")</f>
        <v/>
      </c>
      <c r="L196" s="14" t="inlineStr"/>
    </row>
    <row r="197">
      <c r="A197" s="11" t="inlineStr">
        <is>
          <t>FT4</t>
        </is>
      </c>
      <c r="B197" s="11" t="inlineStr">
        <is>
          <t>GPMP36</t>
        </is>
      </c>
      <c r="C197" s="11" t="inlineStr">
        <is>
          <t>SPLIT CAL KING</t>
        </is>
      </c>
      <c r="D197" s="11" t="inlineStr">
        <is>
          <t>Stiffener</t>
        </is>
      </c>
      <c r="E197" s="11" t="inlineStr">
        <is>
          <t>Cardboard material(Stiffener)</t>
        </is>
      </c>
      <c r="F197" s="11" t="inlineStr">
        <is>
          <t>White square card</t>
        </is>
      </c>
      <c r="G197" s="11" t="inlineStr"/>
      <c r="H197" s="11" t="inlineStr"/>
      <c r="I197" s="10" t="n">
        <v>1</v>
      </c>
      <c r="J197" s="14" t="n">
        <v>2</v>
      </c>
      <c r="K197" s="13">
        <f>IFERROR(I197*(1+IFERROR(J197,0)/100)*VLOOKUP(B197,'1. Articles (SKUs)'!E:N,10,FALSE),"")</f>
        <v/>
      </c>
      <c r="L197" s="14" t="inlineStr"/>
    </row>
    <row r="198">
      <c r="A198" s="9" t="inlineStr">
        <is>
          <t>FT4</t>
        </is>
      </c>
      <c r="B198" s="9" t="inlineStr">
        <is>
          <t>GPMP52</t>
        </is>
      </c>
      <c r="C198" s="9" t="inlineStr">
        <is>
          <t>SPLIT HEAD QUEEN</t>
        </is>
      </c>
      <c r="D198" s="9" t="inlineStr">
        <is>
          <t>Label</t>
        </is>
      </c>
      <c r="E198" s="9" t="inlineStr">
        <is>
          <t>Non woven label with coating</t>
        </is>
      </c>
      <c r="F198" s="9" t="inlineStr">
        <is>
          <t>3M non woven material with white ground / black color font  (INK CANNOT DISCOLORATION AND STAIN ON PRODUCT)</t>
        </is>
      </c>
      <c r="G198" s="9" t="inlineStr">
        <is>
          <t>4.0cmX7.0cm</t>
        </is>
      </c>
      <c r="H198" s="9" t="inlineStr">
        <is>
          <t>Position of Law Tag label – Sewing at the middle of short side</t>
        </is>
      </c>
      <c r="I198" s="10" t="n">
        <v>1</v>
      </c>
      <c r="J198" s="14" t="n">
        <v>2</v>
      </c>
      <c r="K198" s="13">
        <f>IFERROR(I198*(1+IFERROR(J198,0)/100)*VLOOKUP(B198,'1. Articles (SKUs)'!E:N,10,FALSE),"")</f>
        <v/>
      </c>
      <c r="L198" s="14" t="inlineStr"/>
    </row>
    <row r="199">
      <c r="A199" s="11" t="inlineStr">
        <is>
          <t>FT4</t>
        </is>
      </c>
      <c r="B199" s="11" t="inlineStr">
        <is>
          <t>GPMP52</t>
        </is>
      </c>
      <c r="C199" s="11" t="inlineStr">
        <is>
          <t>SPLIT HEAD QUEEN</t>
        </is>
      </c>
      <c r="D199" s="11" t="inlineStr">
        <is>
          <t>Label</t>
        </is>
      </c>
      <c r="E199" s="11" t="inlineStr">
        <is>
          <t>Non woven label with coating</t>
        </is>
      </c>
      <c r="F199" s="11" t="inlineStr">
        <is>
          <t>3M non woven material with white ground / black color font  (INK CANNOT DISCOLORATION AND STAIN ON PRODUCT)</t>
        </is>
      </c>
      <c r="G199" s="11" t="inlineStr">
        <is>
          <t>4.0cmX3.0cm</t>
        </is>
      </c>
      <c r="H199" s="11" t="inlineStr">
        <is>
          <t>Next the law tag label</t>
        </is>
      </c>
      <c r="I199" s="10" t="n">
        <v>1</v>
      </c>
      <c r="J199" s="14" t="n">
        <v>2</v>
      </c>
      <c r="K199" s="13">
        <f>IFERROR(I199*(1+IFERROR(J199,0)/100)*VLOOKUP(B199,'1. Articles (SKUs)'!E:N,10,FALSE),"")</f>
        <v/>
      </c>
      <c r="L199" s="14" t="inlineStr"/>
    </row>
    <row r="200">
      <c r="A200" s="9" t="inlineStr">
        <is>
          <t>FT4</t>
        </is>
      </c>
      <c r="B200" s="9" t="inlineStr">
        <is>
          <t>GPMP52</t>
        </is>
      </c>
      <c r="C200" s="9" t="inlineStr">
        <is>
          <t>SPLIT HEAD QUEEN</t>
        </is>
      </c>
      <c r="D200" s="9" t="inlineStr">
        <is>
          <t>Label</t>
        </is>
      </c>
      <c r="E200" s="9" t="inlineStr">
        <is>
          <t>Non woven label with coating</t>
        </is>
      </c>
      <c r="F200" s="9" t="inlineStr">
        <is>
          <t>3M non woven material with white ground / black color font  (INK CANNOT DISCOLORATION AND STAIN ON PRODUCT)</t>
        </is>
      </c>
      <c r="G200" s="9" t="inlineStr">
        <is>
          <t>4cmX7cm</t>
        </is>
      </c>
      <c r="H200" s="9" t="inlineStr"/>
      <c r="I200" s="10" t="n">
        <v>1</v>
      </c>
      <c r="J200" s="14" t="n">
        <v>2</v>
      </c>
      <c r="K200" s="13">
        <f>IFERROR(I200*(1+IFERROR(J200,0)/100)*VLOOKUP(B200,'1. Articles (SKUs)'!E:N,10,FALSE),"")</f>
        <v/>
      </c>
      <c r="L200" s="14" t="inlineStr"/>
    </row>
    <row r="201">
      <c r="A201" s="11" t="inlineStr">
        <is>
          <t>FT4</t>
        </is>
      </c>
      <c r="B201" s="11" t="inlineStr">
        <is>
          <t>GPMP52</t>
        </is>
      </c>
      <c r="C201" s="11" t="inlineStr">
        <is>
          <t>SPLIT HEAD QUEEN</t>
        </is>
      </c>
      <c r="D201" s="11" t="inlineStr">
        <is>
          <t>Label</t>
        </is>
      </c>
      <c r="E201" s="11" t="inlineStr">
        <is>
          <t>Non woven label with coating</t>
        </is>
      </c>
      <c r="F201" s="11" t="inlineStr">
        <is>
          <t>3M non woven material with white ground / black color font  (INK CANNOT DISCOLORATION AND STAIN ON PRODUCT)</t>
        </is>
      </c>
      <c r="G201" s="11" t="inlineStr">
        <is>
          <t>4.0cmX3.0cm</t>
        </is>
      </c>
      <c r="H201" s="11" t="inlineStr">
        <is>
          <t>Next the law tag label</t>
        </is>
      </c>
      <c r="I201" s="10" t="n">
        <v>1</v>
      </c>
      <c r="J201" s="14" t="n">
        <v>2</v>
      </c>
      <c r="K201" s="13">
        <f>IFERROR(I201*(1+IFERROR(J201,0)/100)*VLOOKUP(B201,'1. Articles (SKUs)'!E:N,10,FALSE),"")</f>
        <v/>
      </c>
      <c r="L201" s="14" t="inlineStr"/>
    </row>
    <row r="202">
      <c r="A202" s="9" t="inlineStr">
        <is>
          <t>FT4</t>
        </is>
      </c>
      <c r="B202" s="9" t="inlineStr">
        <is>
          <t>GPMP52</t>
        </is>
      </c>
      <c r="C202" s="9" t="inlineStr">
        <is>
          <t>SPLIT HEAD QUEEN</t>
        </is>
      </c>
      <c r="D202" s="9" t="inlineStr">
        <is>
          <t>Packaging</t>
        </is>
      </c>
      <c r="E202" s="9" t="inlineStr">
        <is>
          <t>Packaging type</t>
        </is>
      </c>
      <c r="F202" s="9" t="inlineStr">
        <is>
          <t>Color paper insert with vinyl PVC Bag with white bound seam &amp; inside cardboard wrapped by product(Stiffener)</t>
        </is>
      </c>
      <c r="G202" s="9" t="inlineStr"/>
      <c r="H202" s="9" t="inlineStr"/>
      <c r="I202" s="10" t="n">
        <v>1</v>
      </c>
      <c r="J202" s="14" t="n">
        <v>2</v>
      </c>
      <c r="K202" s="13">
        <f>IFERROR(I202*(1+IFERROR(J202,0)/100)*VLOOKUP(B202,'1. Articles (SKUs)'!E:N,10,FALSE),"")</f>
        <v/>
      </c>
      <c r="L202" s="14" t="inlineStr"/>
    </row>
    <row r="203">
      <c r="A203" s="11" t="inlineStr">
        <is>
          <t>FT4</t>
        </is>
      </c>
      <c r="B203" s="11" t="inlineStr">
        <is>
          <t>GPMP52</t>
        </is>
      </c>
      <c r="C203" s="11" t="inlineStr">
        <is>
          <t>SPLIT HEAD QUEEN</t>
        </is>
      </c>
      <c r="D203" s="11" t="inlineStr">
        <is>
          <t>Polybag</t>
        </is>
      </c>
      <c r="E203" s="11" t="inlineStr">
        <is>
          <t>Bag material</t>
        </is>
      </c>
      <c r="F203" s="11" t="inlineStr">
        <is>
          <t>12S (Thickness)- Transparent PVC Bag with 7S(Thickness) White PVC White Binding all around seam and 3# Nylon Coil White Zipper(No Hanger Loop on top)</t>
        </is>
      </c>
      <c r="G203" s="11" t="inlineStr"/>
      <c r="H203" s="11" t="inlineStr"/>
      <c r="I203" s="10" t="n">
        <v>1</v>
      </c>
      <c r="J203" s="14" t="n">
        <v>2</v>
      </c>
      <c r="K203" s="13">
        <f>IFERROR(I203*(1+IFERROR(J203,0)/100)*VLOOKUP(B203,'1. Articles (SKUs)'!E:N,10,FALSE),"")</f>
        <v/>
      </c>
      <c r="L203" s="14" t="inlineStr"/>
    </row>
    <row r="204">
      <c r="A204" s="9" t="inlineStr">
        <is>
          <t>FT4</t>
        </is>
      </c>
      <c r="B204" s="9" t="inlineStr">
        <is>
          <t>GPMP52</t>
        </is>
      </c>
      <c r="C204" s="9" t="inlineStr">
        <is>
          <t>SPLIT HEAD QUEEN</t>
        </is>
      </c>
      <c r="D204" s="9" t="inlineStr">
        <is>
          <t>Polybag</t>
        </is>
      </c>
      <c r="E204" s="9" t="inlineStr">
        <is>
          <t>Bag material</t>
        </is>
      </c>
      <c r="F204" s="9" t="inlineStr">
        <is>
          <t>Size – 3.5cm H X 11.5cm W, 0.35cm (Thickness) - PVC  Transparent Polybag with PP Transparent Plastic Hanger on Top, Bag opening at the bottom with automatic adhesive tape.( All PVC Materials need to use NON DEPH Substance to make the bag)</t>
        </is>
      </c>
      <c r="G204" s="9" t="inlineStr"/>
      <c r="H204" s="9" t="inlineStr"/>
      <c r="I204" s="10" t="n">
        <v>1</v>
      </c>
      <c r="J204" s="14" t="n">
        <v>2</v>
      </c>
      <c r="K204" s="13">
        <f>IFERROR(I204*(1+IFERROR(J204,0)/100)*VLOOKUP(B204,'1. Articles (SKUs)'!E:N,10,FALSE),"")</f>
        <v/>
      </c>
      <c r="L204" s="14" t="inlineStr"/>
    </row>
    <row r="205">
      <c r="A205" s="11" t="inlineStr">
        <is>
          <t>FT4</t>
        </is>
      </c>
      <c r="B205" s="11" t="inlineStr">
        <is>
          <t>GPMP52</t>
        </is>
      </c>
      <c r="C205" s="11" t="inlineStr">
        <is>
          <t>SPLIT HEAD QUEEN</t>
        </is>
      </c>
      <c r="D205" s="11" t="inlineStr">
        <is>
          <t>Insert Card</t>
        </is>
      </c>
      <c r="E205" s="11" t="inlineStr">
        <is>
          <t>Color paper insert material</t>
        </is>
      </c>
      <c r="F205" s="11" t="inlineStr">
        <is>
          <t>Printed Insert quality -  INSERT (“U” Shape) - Insert Material: 250g-300g White Card Paper with Coating both side</t>
        </is>
      </c>
      <c r="G205" s="11" t="inlineStr"/>
      <c r="H205" s="11" t="inlineStr"/>
      <c r="I205" s="10" t="n">
        <v>1</v>
      </c>
      <c r="J205" s="14" t="n">
        <v>2</v>
      </c>
      <c r="K205" s="13">
        <f>IFERROR(I205*(1+IFERROR(J205,0)/100)*VLOOKUP(B205,'1. Articles (SKUs)'!E:N,10,FALSE),"")</f>
        <v/>
      </c>
      <c r="L205" s="14" t="inlineStr"/>
    </row>
    <row r="206">
      <c r="A206" s="9" t="inlineStr">
        <is>
          <t>FT4</t>
        </is>
      </c>
      <c r="B206" s="9" t="inlineStr">
        <is>
          <t>GPMP52</t>
        </is>
      </c>
      <c r="C206" s="9" t="inlineStr">
        <is>
          <t>SPLIT HEAD QUEEN</t>
        </is>
      </c>
      <c r="D206" s="9" t="inlineStr">
        <is>
          <t>Insert Card</t>
        </is>
      </c>
      <c r="E206" s="9" t="inlineStr">
        <is>
          <t>Color paper insert material</t>
        </is>
      </c>
      <c r="F206" s="9" t="inlineStr">
        <is>
          <t>Printed Insert quality -  INSERT (“U” Shape) - Insert Material: 250g-300g White Card Paper with Coating both side</t>
        </is>
      </c>
      <c r="G206" s="9" t="inlineStr"/>
      <c r="H206" s="9" t="inlineStr"/>
      <c r="I206" s="10" t="n">
        <v>1</v>
      </c>
      <c r="J206" s="14" t="n">
        <v>2</v>
      </c>
      <c r="K206" s="13">
        <f>IFERROR(I206*(1+IFERROR(J206,0)/100)*VLOOKUP(B206,'1. Articles (SKUs)'!E:N,10,FALSE),"")</f>
        <v/>
      </c>
      <c r="L206" s="14" t="inlineStr"/>
    </row>
    <row r="207">
      <c r="A207" s="11" t="inlineStr">
        <is>
          <t>FT4</t>
        </is>
      </c>
      <c r="B207" s="11" t="inlineStr">
        <is>
          <t>GPMP52</t>
        </is>
      </c>
      <c r="C207" s="11" t="inlineStr">
        <is>
          <t>SPLIT HEAD QUEEN</t>
        </is>
      </c>
      <c r="D207" s="11" t="inlineStr">
        <is>
          <t>Stiffener</t>
        </is>
      </c>
      <c r="E207" s="11" t="inlineStr">
        <is>
          <t>Cardboard material(Stiffener)</t>
        </is>
      </c>
      <c r="F207" s="11" t="inlineStr">
        <is>
          <t>Packaging inside need to put a “U”  1 ply thickness(1 layers with 1 layer corrugated ) in White Cardboard to maintain the shape before putting into the box</t>
        </is>
      </c>
      <c r="G207" s="11" t="inlineStr"/>
      <c r="H207" s="11" t="inlineStr"/>
      <c r="I207" s="10" t="n">
        <v>1</v>
      </c>
      <c r="J207" s="14" t="n">
        <v>2</v>
      </c>
      <c r="K207" s="13">
        <f>IFERROR(I207*(1+IFERROR(J207,0)/100)*VLOOKUP(B207,'1. Articles (SKUs)'!E:N,10,FALSE),"")</f>
        <v/>
      </c>
      <c r="L207" s="14" t="inlineStr"/>
    </row>
    <row r="208">
      <c r="A208" s="9" t="inlineStr">
        <is>
          <t>FT4</t>
        </is>
      </c>
      <c r="B208" s="9" t="inlineStr">
        <is>
          <t>GPMP52</t>
        </is>
      </c>
      <c r="C208" s="9" t="inlineStr">
        <is>
          <t>SPLIT HEAD QUEEN</t>
        </is>
      </c>
      <c r="D208" s="9" t="inlineStr">
        <is>
          <t>Stiffener</t>
        </is>
      </c>
      <c r="E208" s="9" t="inlineStr">
        <is>
          <t>Cardboard material(Stiffener)</t>
        </is>
      </c>
      <c r="F208" s="9" t="inlineStr">
        <is>
          <t>White square card</t>
        </is>
      </c>
      <c r="G208" s="9" t="inlineStr"/>
      <c r="H208" s="9" t="inlineStr"/>
      <c r="I208" s="10" t="n">
        <v>1</v>
      </c>
      <c r="J208" s="14" t="n">
        <v>2</v>
      </c>
      <c r="K208" s="13">
        <f>IFERROR(I208*(1+IFERROR(J208,0)/100)*VLOOKUP(B208,'1. Articles (SKUs)'!E:N,10,FALSE),"")</f>
        <v/>
      </c>
      <c r="L208" s="14" t="inlineStr"/>
    </row>
    <row r="209">
      <c r="A209" s="11" t="inlineStr">
        <is>
          <t>FT4</t>
        </is>
      </c>
      <c r="B209" s="11" t="inlineStr">
        <is>
          <t>GPMP79</t>
        </is>
      </c>
      <c r="C209" s="11" t="inlineStr">
        <is>
          <t>SPLIT HEAD KING</t>
        </is>
      </c>
      <c r="D209" s="11" t="inlineStr">
        <is>
          <t>Label</t>
        </is>
      </c>
      <c r="E209" s="11" t="inlineStr">
        <is>
          <t>Non woven label with coating</t>
        </is>
      </c>
      <c r="F209" s="11" t="inlineStr">
        <is>
          <t>3M non woven material with white ground / black color font  (INK CANNOT DISCOLORATION AND STAIN ON PRODUCT)</t>
        </is>
      </c>
      <c r="G209" s="11" t="inlineStr">
        <is>
          <t>4.0cmX7.0cm</t>
        </is>
      </c>
      <c r="H209" s="11" t="inlineStr">
        <is>
          <t>Position of Law Tag label – Sewing at the middle of short side</t>
        </is>
      </c>
      <c r="I209" s="10" t="n">
        <v>1</v>
      </c>
      <c r="J209" s="14" t="n">
        <v>2</v>
      </c>
      <c r="K209" s="13">
        <f>IFERROR(I209*(1+IFERROR(J209,0)/100)*VLOOKUP(B209,'1. Articles (SKUs)'!E:N,10,FALSE),"")</f>
        <v/>
      </c>
      <c r="L209" s="14" t="inlineStr"/>
    </row>
    <row r="210">
      <c r="A210" s="9" t="inlineStr">
        <is>
          <t>FT4</t>
        </is>
      </c>
      <c r="B210" s="9" t="inlineStr">
        <is>
          <t>GPMP79</t>
        </is>
      </c>
      <c r="C210" s="9" t="inlineStr">
        <is>
          <t>SPLIT HEAD KING</t>
        </is>
      </c>
      <c r="D210" s="9" t="inlineStr">
        <is>
          <t>Label</t>
        </is>
      </c>
      <c r="E210" s="9" t="inlineStr">
        <is>
          <t>Non woven label with coating</t>
        </is>
      </c>
      <c r="F210" s="9" t="inlineStr">
        <is>
          <t>3M non woven material with white ground / black color font  (INK CANNOT DISCOLORATION AND STAIN ON PRODUCT)</t>
        </is>
      </c>
      <c r="G210" s="9" t="inlineStr">
        <is>
          <t>4.0cmX3.0cm</t>
        </is>
      </c>
      <c r="H210" s="9" t="inlineStr">
        <is>
          <t>Next the law tag label</t>
        </is>
      </c>
      <c r="I210" s="10" t="n">
        <v>1</v>
      </c>
      <c r="J210" s="14" t="n">
        <v>2</v>
      </c>
      <c r="K210" s="13">
        <f>IFERROR(I210*(1+IFERROR(J210,0)/100)*VLOOKUP(B210,'1. Articles (SKUs)'!E:N,10,FALSE),"")</f>
        <v/>
      </c>
      <c r="L210" s="14" t="inlineStr"/>
    </row>
    <row r="211">
      <c r="A211" s="11" t="inlineStr">
        <is>
          <t>FT4</t>
        </is>
      </c>
      <c r="B211" s="11" t="inlineStr">
        <is>
          <t>GPMP79</t>
        </is>
      </c>
      <c r="C211" s="11" t="inlineStr">
        <is>
          <t>SPLIT HEAD KING</t>
        </is>
      </c>
      <c r="D211" s="11" t="inlineStr">
        <is>
          <t>Label</t>
        </is>
      </c>
      <c r="E211" s="11" t="inlineStr">
        <is>
          <t>Non woven label with coating</t>
        </is>
      </c>
      <c r="F211" s="11" t="inlineStr">
        <is>
          <t>3M non woven material with white ground / black color font  (INK CANNOT DISCOLORATION AND STAIN ON PRODUCT)</t>
        </is>
      </c>
      <c r="G211" s="11" t="inlineStr">
        <is>
          <t>4cmX7cm</t>
        </is>
      </c>
      <c r="H211" s="11" t="inlineStr"/>
      <c r="I211" s="10" t="n">
        <v>1</v>
      </c>
      <c r="J211" s="14" t="n">
        <v>2</v>
      </c>
      <c r="K211" s="13">
        <f>IFERROR(I211*(1+IFERROR(J211,0)/100)*VLOOKUP(B211,'1. Articles (SKUs)'!E:N,10,FALSE),"")</f>
        <v/>
      </c>
      <c r="L211" s="14" t="inlineStr"/>
    </row>
    <row r="212">
      <c r="A212" s="9" t="inlineStr">
        <is>
          <t>FT4</t>
        </is>
      </c>
      <c r="B212" s="9" t="inlineStr">
        <is>
          <t>GPMP79</t>
        </is>
      </c>
      <c r="C212" s="9" t="inlineStr">
        <is>
          <t>SPLIT HEAD KING</t>
        </is>
      </c>
      <c r="D212" s="9" t="inlineStr">
        <is>
          <t>Label</t>
        </is>
      </c>
      <c r="E212" s="9" t="inlineStr">
        <is>
          <t>Non woven label with coating</t>
        </is>
      </c>
      <c r="F212" s="9" t="inlineStr">
        <is>
          <t>3M non woven material with white ground / black color font  (INK CANNOT DISCOLORATION AND STAIN ON PRODUCT)</t>
        </is>
      </c>
      <c r="G212" s="9" t="inlineStr">
        <is>
          <t>4.0cmX3.0cm</t>
        </is>
      </c>
      <c r="H212" s="9" t="inlineStr">
        <is>
          <t>Next the law tag label</t>
        </is>
      </c>
      <c r="I212" s="10" t="n">
        <v>1</v>
      </c>
      <c r="J212" s="14" t="n">
        <v>2</v>
      </c>
      <c r="K212" s="13">
        <f>IFERROR(I212*(1+IFERROR(J212,0)/100)*VLOOKUP(B212,'1. Articles (SKUs)'!E:N,10,FALSE),"")</f>
        <v/>
      </c>
      <c r="L212" s="14" t="inlineStr"/>
    </row>
    <row r="213">
      <c r="A213" s="11" t="inlineStr">
        <is>
          <t>FT4</t>
        </is>
      </c>
      <c r="B213" s="11" t="inlineStr">
        <is>
          <t>GPMP79</t>
        </is>
      </c>
      <c r="C213" s="11" t="inlineStr">
        <is>
          <t>SPLIT HEAD KING</t>
        </is>
      </c>
      <c r="D213" s="11" t="inlineStr">
        <is>
          <t>Packaging</t>
        </is>
      </c>
      <c r="E213" s="11" t="inlineStr">
        <is>
          <t>Packaging type</t>
        </is>
      </c>
      <c r="F213" s="11" t="inlineStr">
        <is>
          <t>Color paper insert with vinyl PVC Bag with white bound seam &amp; inside cardboard wrapped by product(Stiffener)</t>
        </is>
      </c>
      <c r="G213" s="11" t="inlineStr"/>
      <c r="H213" s="11" t="inlineStr"/>
      <c r="I213" s="10" t="n">
        <v>1</v>
      </c>
      <c r="J213" s="14" t="n">
        <v>2</v>
      </c>
      <c r="K213" s="13">
        <f>IFERROR(I213*(1+IFERROR(J213,0)/100)*VLOOKUP(B213,'1. Articles (SKUs)'!E:N,10,FALSE),"")</f>
        <v/>
      </c>
      <c r="L213" s="14" t="inlineStr"/>
    </row>
    <row r="214">
      <c r="A214" s="9" t="inlineStr">
        <is>
          <t>FT4</t>
        </is>
      </c>
      <c r="B214" s="9" t="inlineStr">
        <is>
          <t>GPMP79</t>
        </is>
      </c>
      <c r="C214" s="9" t="inlineStr">
        <is>
          <t>SPLIT HEAD KING</t>
        </is>
      </c>
      <c r="D214" s="9" t="inlineStr">
        <is>
          <t>Polybag</t>
        </is>
      </c>
      <c r="E214" s="9" t="inlineStr">
        <is>
          <t>Bag material</t>
        </is>
      </c>
      <c r="F214" s="9" t="inlineStr">
        <is>
          <t>12S (Thickness)- Transparent PVC Bag with 7S(Thickness) White PVC White Binding all around seam and 3# Nylon Coil White Zipper(No Hanger Loop on top)</t>
        </is>
      </c>
      <c r="G214" s="9" t="inlineStr"/>
      <c r="H214" s="9" t="inlineStr"/>
      <c r="I214" s="10" t="n">
        <v>1</v>
      </c>
      <c r="J214" s="14" t="n">
        <v>2</v>
      </c>
      <c r="K214" s="13">
        <f>IFERROR(I214*(1+IFERROR(J214,0)/100)*VLOOKUP(B214,'1. Articles (SKUs)'!E:N,10,FALSE),"")</f>
        <v/>
      </c>
      <c r="L214" s="14" t="inlineStr"/>
    </row>
    <row r="215">
      <c r="A215" s="11" t="inlineStr">
        <is>
          <t>FT4</t>
        </is>
      </c>
      <c r="B215" s="11" t="inlineStr">
        <is>
          <t>GPMP79</t>
        </is>
      </c>
      <c r="C215" s="11" t="inlineStr">
        <is>
          <t>SPLIT HEAD KING</t>
        </is>
      </c>
      <c r="D215" s="11" t="inlineStr">
        <is>
          <t>Polybag</t>
        </is>
      </c>
      <c r="E215" s="11" t="inlineStr">
        <is>
          <t>Bag material</t>
        </is>
      </c>
      <c r="F215" s="11" t="inlineStr">
        <is>
          <t>Size – 3.5cm H X 11.5cm W, 0.35cm (Thickness) - PVC  Transparent Polybag with PP Transparent Plastic Hanger on Top, Bag opening at the bottom with automatic adhesive tape.( All PVC Materials need to use NON DEPH Substance to make the bag)</t>
        </is>
      </c>
      <c r="G215" s="11" t="inlineStr"/>
      <c r="H215" s="11" t="inlineStr"/>
      <c r="I215" s="10" t="n">
        <v>1</v>
      </c>
      <c r="J215" s="14" t="n">
        <v>2</v>
      </c>
      <c r="K215" s="13">
        <f>IFERROR(I215*(1+IFERROR(J215,0)/100)*VLOOKUP(B215,'1. Articles (SKUs)'!E:N,10,FALSE),"")</f>
        <v/>
      </c>
      <c r="L215" s="14" t="inlineStr"/>
    </row>
    <row r="216">
      <c r="A216" s="9" t="inlineStr">
        <is>
          <t>FT4</t>
        </is>
      </c>
      <c r="B216" s="9" t="inlineStr">
        <is>
          <t>GPMP79</t>
        </is>
      </c>
      <c r="C216" s="9" t="inlineStr">
        <is>
          <t>SPLIT HEAD KING</t>
        </is>
      </c>
      <c r="D216" s="9" t="inlineStr">
        <is>
          <t>Insert Card</t>
        </is>
      </c>
      <c r="E216" s="9" t="inlineStr">
        <is>
          <t>Color paper insert material</t>
        </is>
      </c>
      <c r="F216" s="9" t="inlineStr">
        <is>
          <t>Printed Insert quality -  INSERT (“U” Shape) - Insert Material: 250g-300g White Card Paper with Coating both side</t>
        </is>
      </c>
      <c r="G216" s="9" t="inlineStr"/>
      <c r="H216" s="9" t="inlineStr"/>
      <c r="I216" s="10" t="n">
        <v>1</v>
      </c>
      <c r="J216" s="14" t="n">
        <v>2</v>
      </c>
      <c r="K216" s="13">
        <f>IFERROR(I216*(1+IFERROR(J216,0)/100)*VLOOKUP(B216,'1. Articles (SKUs)'!E:N,10,FALSE),"")</f>
        <v/>
      </c>
      <c r="L216" s="14" t="inlineStr"/>
    </row>
    <row r="217">
      <c r="A217" s="11" t="inlineStr">
        <is>
          <t>FT4</t>
        </is>
      </c>
      <c r="B217" s="11" t="inlineStr">
        <is>
          <t>GPMP79</t>
        </is>
      </c>
      <c r="C217" s="11" t="inlineStr">
        <is>
          <t>SPLIT HEAD KING</t>
        </is>
      </c>
      <c r="D217" s="11" t="inlineStr">
        <is>
          <t>Insert Card</t>
        </is>
      </c>
      <c r="E217" s="11" t="inlineStr">
        <is>
          <t>Color paper insert material</t>
        </is>
      </c>
      <c r="F217" s="11" t="inlineStr">
        <is>
          <t>Printed Insert quality -  INSERT (“U” Shape) - Insert Material: 250g-300g White Card Paper with Coating both side</t>
        </is>
      </c>
      <c r="G217" s="11" t="inlineStr"/>
      <c r="H217" s="11" t="inlineStr"/>
      <c r="I217" s="10" t="n">
        <v>1</v>
      </c>
      <c r="J217" s="14" t="n">
        <v>2</v>
      </c>
      <c r="K217" s="13">
        <f>IFERROR(I217*(1+IFERROR(J217,0)/100)*VLOOKUP(B217,'1. Articles (SKUs)'!E:N,10,FALSE),"")</f>
        <v/>
      </c>
      <c r="L217" s="14" t="inlineStr"/>
    </row>
    <row r="218">
      <c r="A218" s="9" t="inlineStr">
        <is>
          <t>FT4</t>
        </is>
      </c>
      <c r="B218" s="9" t="inlineStr">
        <is>
          <t>GPMP79</t>
        </is>
      </c>
      <c r="C218" s="9" t="inlineStr">
        <is>
          <t>SPLIT HEAD KING</t>
        </is>
      </c>
      <c r="D218" s="9" t="inlineStr">
        <is>
          <t>Stiffener</t>
        </is>
      </c>
      <c r="E218" s="9" t="inlineStr">
        <is>
          <t>Cardboard material(Stiffener)</t>
        </is>
      </c>
      <c r="F218" s="9" t="inlineStr">
        <is>
          <t>Packaging inside need to put a “U”  1 ply thickness(1 layers with 1 layer corrugated ) in White Cardboard to maintain the shape before putting into the box</t>
        </is>
      </c>
      <c r="G218" s="9" t="inlineStr"/>
      <c r="H218" s="9" t="inlineStr"/>
      <c r="I218" s="10" t="n">
        <v>1</v>
      </c>
      <c r="J218" s="14" t="n">
        <v>2</v>
      </c>
      <c r="K218" s="13">
        <f>IFERROR(I218*(1+IFERROR(J218,0)/100)*VLOOKUP(B218,'1. Articles (SKUs)'!E:N,10,FALSE),"")</f>
        <v/>
      </c>
      <c r="L218" s="14" t="inlineStr"/>
    </row>
    <row r="219">
      <c r="A219" s="11" t="inlineStr">
        <is>
          <t>FT4</t>
        </is>
      </c>
      <c r="B219" s="11" t="inlineStr">
        <is>
          <t>GPMP79</t>
        </is>
      </c>
      <c r="C219" s="11" t="inlineStr">
        <is>
          <t>SPLIT HEAD KING</t>
        </is>
      </c>
      <c r="D219" s="11" t="inlineStr">
        <is>
          <t>Stiffener</t>
        </is>
      </c>
      <c r="E219" s="11" t="inlineStr">
        <is>
          <t>Cardboard material(Stiffener)</t>
        </is>
      </c>
      <c r="F219" s="11" t="inlineStr">
        <is>
          <t>White square card</t>
        </is>
      </c>
      <c r="G219" s="11" t="inlineStr"/>
      <c r="H219" s="11" t="inlineStr"/>
      <c r="I219" s="10" t="n">
        <v>1</v>
      </c>
      <c r="J219" s="14" t="n">
        <v>2</v>
      </c>
      <c r="K219" s="13">
        <f>IFERROR(I219*(1+IFERROR(J219,0)/100)*VLOOKUP(B219,'1. Articles (SKUs)'!E:N,10,FALSE),"")</f>
        <v/>
      </c>
      <c r="L219" s="14" t="inlineStr"/>
    </row>
    <row r="220">
      <c r="A220" s="9" t="inlineStr">
        <is>
          <t>FT9</t>
        </is>
      </c>
      <c r="B220" s="9" t="inlineStr">
        <is>
          <t>GPTE33</t>
        </is>
      </c>
      <c r="C220" s="9" t="inlineStr">
        <is>
          <t>TWIN</t>
        </is>
      </c>
      <c r="D220" s="9" t="inlineStr">
        <is>
          <t>Label</t>
        </is>
      </c>
      <c r="E220" s="9" t="inlineStr">
        <is>
          <t>Non woven label with coating</t>
        </is>
      </c>
      <c r="F220" s="9" t="inlineStr">
        <is>
          <t>3M non woven material with white ground / black color font  (INK CANNOT DISCOLORATION AND STAIN ON PRODUCT)</t>
        </is>
      </c>
      <c r="G220" s="9" t="inlineStr">
        <is>
          <t>4.0cmX7.0cm</t>
        </is>
      </c>
      <c r="H220" s="9" t="inlineStr">
        <is>
          <t>Position of Law Tag label – Sewing at the middle of short side</t>
        </is>
      </c>
      <c r="I220" s="10" t="n">
        <v>1</v>
      </c>
      <c r="J220" s="14" t="n">
        <v>2</v>
      </c>
      <c r="K220" s="13">
        <f>IFERROR(I220*(1+IFERROR(J220,0)/100)*VLOOKUP(B220,'1. Articles (SKUs)'!E:N,10,FALSE),"")</f>
        <v/>
      </c>
      <c r="L220" s="14" t="inlineStr"/>
    </row>
    <row r="221">
      <c r="A221" s="11" t="inlineStr">
        <is>
          <t>FT9</t>
        </is>
      </c>
      <c r="B221" s="11" t="inlineStr">
        <is>
          <t>GPTE33</t>
        </is>
      </c>
      <c r="C221" s="11" t="inlineStr">
        <is>
          <t>TWIN</t>
        </is>
      </c>
      <c r="D221" s="11" t="inlineStr">
        <is>
          <t>Label</t>
        </is>
      </c>
      <c r="E221" s="11" t="inlineStr">
        <is>
          <t>Non woven label with coating</t>
        </is>
      </c>
      <c r="F221" s="11" t="inlineStr">
        <is>
          <t>3M non woven material with white ground / black color font  (INK CANNOT DISCOLORATION AND STAIN ON PRODUCT)</t>
        </is>
      </c>
      <c r="G221" s="11" t="inlineStr">
        <is>
          <t>4.0cmX3.0cm</t>
        </is>
      </c>
      <c r="H221" s="11" t="inlineStr">
        <is>
          <t>Next the law tag label</t>
        </is>
      </c>
      <c r="I221" s="10" t="n">
        <v>1</v>
      </c>
      <c r="J221" s="14" t="n">
        <v>2</v>
      </c>
      <c r="K221" s="13">
        <f>IFERROR(I221*(1+IFERROR(J221,0)/100)*VLOOKUP(B221,'1. Articles (SKUs)'!E:N,10,FALSE),"")</f>
        <v/>
      </c>
      <c r="L221" s="14" t="inlineStr"/>
    </row>
    <row r="222">
      <c r="A222" s="9" t="inlineStr">
        <is>
          <t>FT9</t>
        </is>
      </c>
      <c r="B222" s="9" t="inlineStr">
        <is>
          <t>GPTE33</t>
        </is>
      </c>
      <c r="C222" s="9" t="inlineStr">
        <is>
          <t>TWIN</t>
        </is>
      </c>
      <c r="D222" s="9" t="inlineStr">
        <is>
          <t>Packaging</t>
        </is>
      </c>
      <c r="E222" s="9" t="inlineStr">
        <is>
          <t>Packaging type</t>
        </is>
      </c>
      <c r="F222" s="9" t="inlineStr">
        <is>
          <t>Color paper insert with vinyl PVC Bag with white bound seam &amp; inside cardboard wrapped by product(Stiffener)</t>
        </is>
      </c>
      <c r="G222" s="9" t="inlineStr"/>
      <c r="H222" s="9" t="inlineStr"/>
      <c r="I222" s="10" t="n">
        <v>1</v>
      </c>
      <c r="J222" s="14" t="n">
        <v>2</v>
      </c>
      <c r="K222" s="13">
        <f>IFERROR(I222*(1+IFERROR(J222,0)/100)*VLOOKUP(B222,'1. Articles (SKUs)'!E:N,10,FALSE),"")</f>
        <v/>
      </c>
      <c r="L222" s="14" t="inlineStr"/>
    </row>
    <row r="223">
      <c r="A223" s="11" t="inlineStr">
        <is>
          <t>FT9</t>
        </is>
      </c>
      <c r="B223" s="11" t="inlineStr">
        <is>
          <t>GPTE33</t>
        </is>
      </c>
      <c r="C223" s="11" t="inlineStr">
        <is>
          <t>TWIN</t>
        </is>
      </c>
      <c r="D223" s="11" t="inlineStr">
        <is>
          <t>Polybag</t>
        </is>
      </c>
      <c r="E223" s="11" t="inlineStr">
        <is>
          <t>Bag material</t>
        </is>
      </c>
      <c r="F223" s="11" t="inlineStr">
        <is>
          <t>12S (Thickness)- Transparent PVC Bag with 7S(Thickness) White PVC White Binding all around seam and 3# Nylon Coil White Zipper(No Hanger Loop on top)</t>
        </is>
      </c>
      <c r="G223" s="11" t="inlineStr"/>
      <c r="H223" s="11" t="inlineStr"/>
      <c r="I223" s="10" t="n">
        <v>1</v>
      </c>
      <c r="J223" s="14" t="n">
        <v>2</v>
      </c>
      <c r="K223" s="13">
        <f>IFERROR(I223*(1+IFERROR(J223,0)/100)*VLOOKUP(B223,'1. Articles (SKUs)'!E:N,10,FALSE),"")</f>
        <v/>
      </c>
      <c r="L223" s="14" t="inlineStr"/>
    </row>
    <row r="224">
      <c r="A224" s="9" t="inlineStr">
        <is>
          <t>FT9</t>
        </is>
      </c>
      <c r="B224" s="9" t="inlineStr">
        <is>
          <t>GPTE33</t>
        </is>
      </c>
      <c r="C224" s="9" t="inlineStr">
        <is>
          <t>TWIN</t>
        </is>
      </c>
      <c r="D224" s="9" t="inlineStr">
        <is>
          <t>Insert Card</t>
        </is>
      </c>
      <c r="E224" s="9" t="inlineStr">
        <is>
          <t>Color paper insert material</t>
        </is>
      </c>
      <c r="F224" s="9" t="inlineStr">
        <is>
          <t>Printed Insert quality -  INSERT (“U” Shape) - Insert Material: 250g-300g White Card Paper with Coating both side</t>
        </is>
      </c>
      <c r="G224" s="9" t="inlineStr"/>
      <c r="H224" s="9" t="inlineStr"/>
      <c r="I224" s="10" t="n">
        <v>1</v>
      </c>
      <c r="J224" s="14" t="n">
        <v>2</v>
      </c>
      <c r="K224" s="13">
        <f>IFERROR(I224*(1+IFERROR(J224,0)/100)*VLOOKUP(B224,'1. Articles (SKUs)'!E:N,10,FALSE),"")</f>
        <v/>
      </c>
      <c r="L224" s="14" t="inlineStr"/>
    </row>
    <row r="225">
      <c r="A225" s="11" t="inlineStr">
        <is>
          <t>FT9</t>
        </is>
      </c>
      <c r="B225" s="11" t="inlineStr">
        <is>
          <t>GPTE33</t>
        </is>
      </c>
      <c r="C225" s="11" t="inlineStr">
        <is>
          <t>TWIN</t>
        </is>
      </c>
      <c r="D225" s="11" t="inlineStr">
        <is>
          <t>Stiffener</t>
        </is>
      </c>
      <c r="E225" s="11" t="inlineStr">
        <is>
          <t>Cardboard material(Stiffener)</t>
        </is>
      </c>
      <c r="F225" s="11" t="inlineStr">
        <is>
          <t>Packaging inside need to put a “U”  1 ply thickness(1 layers with 1 layer corrugated ) in White Cardboard to maintain the shape before putting into the box</t>
        </is>
      </c>
      <c r="G225" s="11" t="inlineStr"/>
      <c r="H225" s="11" t="inlineStr"/>
      <c r="I225" s="10" t="n">
        <v>1</v>
      </c>
      <c r="J225" s="14" t="n">
        <v>2</v>
      </c>
      <c r="K225" s="13">
        <f>IFERROR(I225*(1+IFERROR(J225,0)/100)*VLOOKUP(B225,'1. Articles (SKUs)'!E:N,10,FALSE),"")</f>
        <v/>
      </c>
      <c r="L225" s="14" t="inlineStr"/>
    </row>
    <row r="226">
      <c r="A226" s="9" t="inlineStr">
        <is>
          <t>FT9</t>
        </is>
      </c>
      <c r="B226" s="9" t="inlineStr">
        <is>
          <t>GPTE38</t>
        </is>
      </c>
      <c r="C226" s="9" t="inlineStr">
        <is>
          <t>TWIN XL</t>
        </is>
      </c>
      <c r="D226" s="9" t="inlineStr">
        <is>
          <t>Label</t>
        </is>
      </c>
      <c r="E226" s="9" t="inlineStr">
        <is>
          <t>Non woven label with coating</t>
        </is>
      </c>
      <c r="F226" s="9" t="inlineStr">
        <is>
          <t>3M non woven material with white ground / black color font  (INK CANNOT DISCOLORATION AND STAIN ON PRODUCT)</t>
        </is>
      </c>
      <c r="G226" s="9" t="inlineStr">
        <is>
          <t>4.0cmX7.0cm</t>
        </is>
      </c>
      <c r="H226" s="9" t="inlineStr">
        <is>
          <t>Position of Law Tag label – Sewing at the middle of short side</t>
        </is>
      </c>
      <c r="I226" s="10" t="n">
        <v>1</v>
      </c>
      <c r="J226" s="14" t="n">
        <v>2</v>
      </c>
      <c r="K226" s="13">
        <f>IFERROR(I226*(1+IFERROR(J226,0)/100)*VLOOKUP(B226,'1. Articles (SKUs)'!E:N,10,FALSE),"")</f>
        <v/>
      </c>
      <c r="L226" s="14" t="inlineStr"/>
    </row>
    <row r="227">
      <c r="A227" s="11" t="inlineStr">
        <is>
          <t>FT9</t>
        </is>
      </c>
      <c r="B227" s="11" t="inlineStr">
        <is>
          <t>GPTE38</t>
        </is>
      </c>
      <c r="C227" s="11" t="inlineStr">
        <is>
          <t>TWIN XL</t>
        </is>
      </c>
      <c r="D227" s="11" t="inlineStr">
        <is>
          <t>Label</t>
        </is>
      </c>
      <c r="E227" s="11" t="inlineStr">
        <is>
          <t>Non woven label with coating</t>
        </is>
      </c>
      <c r="F227" s="11" t="inlineStr">
        <is>
          <t>3M non woven material with white ground / black color font  (INK CANNOT DISCOLORATION AND STAIN ON PRODUCT)</t>
        </is>
      </c>
      <c r="G227" s="11" t="inlineStr">
        <is>
          <t>4.0cmX3.0cm</t>
        </is>
      </c>
      <c r="H227" s="11" t="inlineStr">
        <is>
          <t>Next the law tag label</t>
        </is>
      </c>
      <c r="I227" s="10" t="n">
        <v>1</v>
      </c>
      <c r="J227" s="14" t="n">
        <v>2</v>
      </c>
      <c r="K227" s="13">
        <f>IFERROR(I227*(1+IFERROR(J227,0)/100)*VLOOKUP(B227,'1. Articles (SKUs)'!E:N,10,FALSE),"")</f>
        <v/>
      </c>
      <c r="L227" s="14" t="inlineStr"/>
    </row>
    <row r="228">
      <c r="A228" s="9" t="inlineStr">
        <is>
          <t>FT9</t>
        </is>
      </c>
      <c r="B228" s="9" t="inlineStr">
        <is>
          <t>GPTE38</t>
        </is>
      </c>
      <c r="C228" s="9" t="inlineStr">
        <is>
          <t>TWIN XL</t>
        </is>
      </c>
      <c r="D228" s="9" t="inlineStr">
        <is>
          <t>Packaging</t>
        </is>
      </c>
      <c r="E228" s="9" t="inlineStr">
        <is>
          <t>Packaging type</t>
        </is>
      </c>
      <c r="F228" s="9" t="inlineStr">
        <is>
          <t>Color paper insert with vinyl PVC Bag with white bound seam &amp; inside cardboard wrapped by product(Stiffener)</t>
        </is>
      </c>
      <c r="G228" s="9" t="inlineStr"/>
      <c r="H228" s="9" t="inlineStr"/>
      <c r="I228" s="10" t="n">
        <v>1</v>
      </c>
      <c r="J228" s="14" t="n">
        <v>2</v>
      </c>
      <c r="K228" s="13">
        <f>IFERROR(I228*(1+IFERROR(J228,0)/100)*VLOOKUP(B228,'1. Articles (SKUs)'!E:N,10,FALSE),"")</f>
        <v/>
      </c>
      <c r="L228" s="14" t="inlineStr"/>
    </row>
    <row r="229">
      <c r="A229" s="11" t="inlineStr">
        <is>
          <t>FT9</t>
        </is>
      </c>
      <c r="B229" s="11" t="inlineStr">
        <is>
          <t>GPTE38</t>
        </is>
      </c>
      <c r="C229" s="11" t="inlineStr">
        <is>
          <t>TWIN XL</t>
        </is>
      </c>
      <c r="D229" s="11" t="inlineStr">
        <is>
          <t>Polybag</t>
        </is>
      </c>
      <c r="E229" s="11" t="inlineStr">
        <is>
          <t>Bag material</t>
        </is>
      </c>
      <c r="F229" s="11" t="inlineStr">
        <is>
          <t>12S (Thickness)- Transparent PVC Bag with 7S(Thickness) White PVC White Binding all around seam and 3# Nylon Coil White Zipper(No Hanger Loop on top)</t>
        </is>
      </c>
      <c r="G229" s="11" t="inlineStr"/>
      <c r="H229" s="11" t="inlineStr"/>
      <c r="I229" s="10" t="n">
        <v>1</v>
      </c>
      <c r="J229" s="14" t="n">
        <v>2</v>
      </c>
      <c r="K229" s="13">
        <f>IFERROR(I229*(1+IFERROR(J229,0)/100)*VLOOKUP(B229,'1. Articles (SKUs)'!E:N,10,FALSE),"")</f>
        <v/>
      </c>
      <c r="L229" s="14" t="inlineStr"/>
    </row>
    <row r="230">
      <c r="A230" s="9" t="inlineStr">
        <is>
          <t>FT9</t>
        </is>
      </c>
      <c r="B230" s="9" t="inlineStr">
        <is>
          <t>GPTE38</t>
        </is>
      </c>
      <c r="C230" s="9" t="inlineStr">
        <is>
          <t>TWIN XL</t>
        </is>
      </c>
      <c r="D230" s="9" t="inlineStr">
        <is>
          <t>Insert Card</t>
        </is>
      </c>
      <c r="E230" s="9" t="inlineStr">
        <is>
          <t>Color paper insert material</t>
        </is>
      </c>
      <c r="F230" s="9" t="inlineStr">
        <is>
          <t>Printed Insert quality -  INSERT (“U” Shape) - Insert Material: 250g-300g White Card Paper with Coating both side</t>
        </is>
      </c>
      <c r="G230" s="9" t="inlineStr"/>
      <c r="H230" s="9" t="inlineStr"/>
      <c r="I230" s="10" t="n">
        <v>1</v>
      </c>
      <c r="J230" s="14" t="n">
        <v>2</v>
      </c>
      <c r="K230" s="13">
        <f>IFERROR(I230*(1+IFERROR(J230,0)/100)*VLOOKUP(B230,'1. Articles (SKUs)'!E:N,10,FALSE),"")</f>
        <v/>
      </c>
      <c r="L230" s="14" t="inlineStr"/>
    </row>
    <row r="231">
      <c r="A231" s="11" t="inlineStr">
        <is>
          <t>FT9</t>
        </is>
      </c>
      <c r="B231" s="11" t="inlineStr">
        <is>
          <t>GPTE38</t>
        </is>
      </c>
      <c r="C231" s="11" t="inlineStr">
        <is>
          <t>TWIN XL</t>
        </is>
      </c>
      <c r="D231" s="11" t="inlineStr">
        <is>
          <t>Stiffener</t>
        </is>
      </c>
      <c r="E231" s="11" t="inlineStr">
        <is>
          <t>Cardboard material(Stiffener)</t>
        </is>
      </c>
      <c r="F231" s="11" t="inlineStr">
        <is>
          <t>Packaging inside need to put a “U”  1 ply thickness(1 layers with 1 layer corrugated ) in White Cardboard to maintain the shape before putting into the box</t>
        </is>
      </c>
      <c r="G231" s="11" t="inlineStr"/>
      <c r="H231" s="11" t="inlineStr"/>
      <c r="I231" s="10" t="n">
        <v>1</v>
      </c>
      <c r="J231" s="14" t="n">
        <v>2</v>
      </c>
      <c r="K231" s="13">
        <f>IFERROR(I231*(1+IFERROR(J231,0)/100)*VLOOKUP(B231,'1. Articles (SKUs)'!E:N,10,FALSE),"")</f>
        <v/>
      </c>
      <c r="L231" s="14" t="inlineStr"/>
    </row>
    <row r="232">
      <c r="A232" s="9" t="inlineStr">
        <is>
          <t>FT9</t>
        </is>
      </c>
      <c r="B232" s="9" t="inlineStr">
        <is>
          <t>GPTE46</t>
        </is>
      </c>
      <c r="C232" s="9" t="inlineStr">
        <is>
          <t>FULL</t>
        </is>
      </c>
      <c r="D232" s="9" t="inlineStr">
        <is>
          <t>Label</t>
        </is>
      </c>
      <c r="E232" s="9" t="inlineStr">
        <is>
          <t>Non woven label with coating</t>
        </is>
      </c>
      <c r="F232" s="9" t="inlineStr">
        <is>
          <t>3M non woven material with white ground / black color font  (INK CANNOT DISCOLORATION AND STAIN ON PRODUCT)</t>
        </is>
      </c>
      <c r="G232" s="9" t="inlineStr">
        <is>
          <t>4.0cmX7.0cm</t>
        </is>
      </c>
      <c r="H232" s="9" t="inlineStr">
        <is>
          <t>Position of Law Tag label – Sewing at the middle of short side</t>
        </is>
      </c>
      <c r="I232" s="10" t="n">
        <v>1</v>
      </c>
      <c r="J232" s="14" t="n">
        <v>2</v>
      </c>
      <c r="K232" s="13">
        <f>IFERROR(I232*(1+IFERROR(J232,0)/100)*VLOOKUP(B232,'1. Articles (SKUs)'!E:N,10,FALSE),"")</f>
        <v/>
      </c>
      <c r="L232" s="14" t="inlineStr"/>
    </row>
    <row r="233">
      <c r="A233" s="11" t="inlineStr">
        <is>
          <t>FT9</t>
        </is>
      </c>
      <c r="B233" s="11" t="inlineStr">
        <is>
          <t>GPTE46</t>
        </is>
      </c>
      <c r="C233" s="11" t="inlineStr">
        <is>
          <t>FULL</t>
        </is>
      </c>
      <c r="D233" s="11" t="inlineStr">
        <is>
          <t>Label</t>
        </is>
      </c>
      <c r="E233" s="11" t="inlineStr">
        <is>
          <t>Non woven label with coating</t>
        </is>
      </c>
      <c r="F233" s="11" t="inlineStr">
        <is>
          <t>3M non woven material with white ground / black color font  (INK CANNOT DISCOLORATION AND STAIN ON PRODUCT)</t>
        </is>
      </c>
      <c r="G233" s="11" t="inlineStr">
        <is>
          <t>4.0cmX3.0cm</t>
        </is>
      </c>
      <c r="H233" s="11" t="inlineStr">
        <is>
          <t>Next the law tag label</t>
        </is>
      </c>
      <c r="I233" s="10" t="n">
        <v>1</v>
      </c>
      <c r="J233" s="14" t="n">
        <v>2</v>
      </c>
      <c r="K233" s="13">
        <f>IFERROR(I233*(1+IFERROR(J233,0)/100)*VLOOKUP(B233,'1. Articles (SKUs)'!E:N,10,FALSE),"")</f>
        <v/>
      </c>
      <c r="L233" s="14" t="inlineStr"/>
    </row>
    <row r="234">
      <c r="A234" s="9" t="inlineStr">
        <is>
          <t>FT9</t>
        </is>
      </c>
      <c r="B234" s="9" t="inlineStr">
        <is>
          <t>GPTE46</t>
        </is>
      </c>
      <c r="C234" s="9" t="inlineStr">
        <is>
          <t>FULL</t>
        </is>
      </c>
      <c r="D234" s="9" t="inlineStr">
        <is>
          <t>Packaging</t>
        </is>
      </c>
      <c r="E234" s="9" t="inlineStr">
        <is>
          <t>Packaging type</t>
        </is>
      </c>
      <c r="F234" s="9" t="inlineStr">
        <is>
          <t>Color paper insert with vinyl PVC Bag with white bound seam &amp; inside cardboard wrapped by product(Stiffener)</t>
        </is>
      </c>
      <c r="G234" s="9" t="inlineStr"/>
      <c r="H234" s="9" t="inlineStr"/>
      <c r="I234" s="10" t="n">
        <v>1</v>
      </c>
      <c r="J234" s="14" t="n">
        <v>2</v>
      </c>
      <c r="K234" s="13">
        <f>IFERROR(I234*(1+IFERROR(J234,0)/100)*VLOOKUP(B234,'1. Articles (SKUs)'!E:N,10,FALSE),"")</f>
        <v/>
      </c>
      <c r="L234" s="14" t="inlineStr"/>
    </row>
    <row r="235">
      <c r="A235" s="11" t="inlineStr">
        <is>
          <t>FT9</t>
        </is>
      </c>
      <c r="B235" s="11" t="inlineStr">
        <is>
          <t>GPTE46</t>
        </is>
      </c>
      <c r="C235" s="11" t="inlineStr">
        <is>
          <t>FULL</t>
        </is>
      </c>
      <c r="D235" s="11" t="inlineStr">
        <is>
          <t>Polybag</t>
        </is>
      </c>
      <c r="E235" s="11" t="inlineStr">
        <is>
          <t>Bag material</t>
        </is>
      </c>
      <c r="F235" s="11" t="inlineStr">
        <is>
          <t>12S (Thickness)- Transparent PVC Bag with 7S(Thickness) White PVC White Binding all around seam and 3# Nylon Coil White Zipper(No Hanger Loop on top)</t>
        </is>
      </c>
      <c r="G235" s="11" t="inlineStr"/>
      <c r="H235" s="11" t="inlineStr"/>
      <c r="I235" s="10" t="n">
        <v>1</v>
      </c>
      <c r="J235" s="14" t="n">
        <v>2</v>
      </c>
      <c r="K235" s="13">
        <f>IFERROR(I235*(1+IFERROR(J235,0)/100)*VLOOKUP(B235,'1. Articles (SKUs)'!E:N,10,FALSE),"")</f>
        <v/>
      </c>
      <c r="L235" s="14" t="inlineStr"/>
    </row>
    <row r="236">
      <c r="A236" s="9" t="inlineStr">
        <is>
          <t>FT9</t>
        </is>
      </c>
      <c r="B236" s="9" t="inlineStr">
        <is>
          <t>GPTE46</t>
        </is>
      </c>
      <c r="C236" s="9" t="inlineStr">
        <is>
          <t>FULL</t>
        </is>
      </c>
      <c r="D236" s="9" t="inlineStr">
        <is>
          <t>Insert Card</t>
        </is>
      </c>
      <c r="E236" s="9" t="inlineStr">
        <is>
          <t>Color paper insert material</t>
        </is>
      </c>
      <c r="F236" s="9" t="inlineStr">
        <is>
          <t>Printed Insert quality -  INSERT (“U” Shape) - Insert Material: 250g-300g White Card Paper with Coating both side</t>
        </is>
      </c>
      <c r="G236" s="9" t="inlineStr"/>
      <c r="H236" s="9" t="inlineStr"/>
      <c r="I236" s="10" t="n">
        <v>1</v>
      </c>
      <c r="J236" s="14" t="n">
        <v>2</v>
      </c>
      <c r="K236" s="13">
        <f>IFERROR(I236*(1+IFERROR(J236,0)/100)*VLOOKUP(B236,'1. Articles (SKUs)'!E:N,10,FALSE),"")</f>
        <v/>
      </c>
      <c r="L236" s="14" t="inlineStr"/>
    </row>
    <row r="237">
      <c r="A237" s="11" t="inlineStr">
        <is>
          <t>FT9</t>
        </is>
      </c>
      <c r="B237" s="11" t="inlineStr">
        <is>
          <t>GPTE46</t>
        </is>
      </c>
      <c r="C237" s="11" t="inlineStr">
        <is>
          <t>FULL</t>
        </is>
      </c>
      <c r="D237" s="11" t="inlineStr">
        <is>
          <t>Stiffener</t>
        </is>
      </c>
      <c r="E237" s="11" t="inlineStr">
        <is>
          <t>Cardboard material(Stiffener)</t>
        </is>
      </c>
      <c r="F237" s="11" t="inlineStr">
        <is>
          <t>Packaging inside need to put a “U”  1 ply thickness(1 layers with 1 layer corrugated ) in White Cardboard to maintain the shape before putting into the box</t>
        </is>
      </c>
      <c r="G237" s="11" t="inlineStr"/>
      <c r="H237" s="11" t="inlineStr"/>
      <c r="I237" s="10" t="n">
        <v>1</v>
      </c>
      <c r="J237" s="14" t="n">
        <v>2</v>
      </c>
      <c r="K237" s="13">
        <f>IFERROR(I237*(1+IFERROR(J237,0)/100)*VLOOKUP(B237,'1. Articles (SKUs)'!E:N,10,FALSE),"")</f>
        <v/>
      </c>
      <c r="L237" s="14" t="inlineStr"/>
    </row>
    <row r="238">
      <c r="A238" s="9" t="inlineStr">
        <is>
          <t>FT9</t>
        </is>
      </c>
      <c r="B238" s="9" t="inlineStr">
        <is>
          <t>GPTE80</t>
        </is>
      </c>
      <c r="C238" s="9" t="inlineStr">
        <is>
          <t>FULL XL</t>
        </is>
      </c>
      <c r="D238" s="9" t="inlineStr">
        <is>
          <t>Label</t>
        </is>
      </c>
      <c r="E238" s="9" t="inlineStr">
        <is>
          <t>Non woven label with coating</t>
        </is>
      </c>
      <c r="F238" s="9" t="inlineStr">
        <is>
          <t>3M non woven material with white ground / black color font  (INK CANNOT DISCOLORATION AND STAIN ON PRODUCT)</t>
        </is>
      </c>
      <c r="G238" s="9" t="inlineStr">
        <is>
          <t>4.0cmX7.0cm</t>
        </is>
      </c>
      <c r="H238" s="9" t="inlineStr">
        <is>
          <t>Position of Law Tag label – Sewing at the middle of short side</t>
        </is>
      </c>
      <c r="I238" s="10" t="n">
        <v>1</v>
      </c>
      <c r="J238" s="14" t="n">
        <v>2</v>
      </c>
      <c r="K238" s="13">
        <f>IFERROR(I238*(1+IFERROR(J238,0)/100)*VLOOKUP(B238,'1. Articles (SKUs)'!E:N,10,FALSE),"")</f>
        <v/>
      </c>
      <c r="L238" s="14" t="inlineStr"/>
    </row>
    <row r="239">
      <c r="A239" s="11" t="inlineStr">
        <is>
          <t>FT9</t>
        </is>
      </c>
      <c r="B239" s="11" t="inlineStr">
        <is>
          <t>GPTE80</t>
        </is>
      </c>
      <c r="C239" s="11" t="inlineStr">
        <is>
          <t>FULL XL</t>
        </is>
      </c>
      <c r="D239" s="11" t="inlineStr">
        <is>
          <t>Label</t>
        </is>
      </c>
      <c r="E239" s="11" t="inlineStr">
        <is>
          <t>Non woven label with coating</t>
        </is>
      </c>
      <c r="F239" s="11" t="inlineStr">
        <is>
          <t>3M non woven material with white ground / black color font  (INK CANNOT DISCOLORATION AND STAIN ON PRODUCT)</t>
        </is>
      </c>
      <c r="G239" s="11" t="inlineStr">
        <is>
          <t>4.0cmX3.0cm</t>
        </is>
      </c>
      <c r="H239" s="11" t="inlineStr">
        <is>
          <t>Next the law tag label</t>
        </is>
      </c>
      <c r="I239" s="10" t="n">
        <v>1</v>
      </c>
      <c r="J239" s="14" t="n">
        <v>2</v>
      </c>
      <c r="K239" s="13">
        <f>IFERROR(I239*(1+IFERROR(J239,0)/100)*VLOOKUP(B239,'1. Articles (SKUs)'!E:N,10,FALSE),"")</f>
        <v/>
      </c>
      <c r="L239" s="14" t="inlineStr"/>
    </row>
    <row r="240">
      <c r="A240" s="9" t="inlineStr">
        <is>
          <t>FT9</t>
        </is>
      </c>
      <c r="B240" s="9" t="inlineStr">
        <is>
          <t>GPTE80</t>
        </is>
      </c>
      <c r="C240" s="9" t="inlineStr">
        <is>
          <t>FULL XL</t>
        </is>
      </c>
      <c r="D240" s="9" t="inlineStr">
        <is>
          <t>Packaging</t>
        </is>
      </c>
      <c r="E240" s="9" t="inlineStr">
        <is>
          <t>Packaging type</t>
        </is>
      </c>
      <c r="F240" s="9" t="inlineStr">
        <is>
          <t>Color paper insert with vinyl PVC Bag with white bound seam &amp; inside cardboard wrapped by product(Stiffener)</t>
        </is>
      </c>
      <c r="G240" s="9" t="inlineStr"/>
      <c r="H240" s="9" t="inlineStr"/>
      <c r="I240" s="10" t="n">
        <v>1</v>
      </c>
      <c r="J240" s="14" t="n">
        <v>2</v>
      </c>
      <c r="K240" s="13">
        <f>IFERROR(I240*(1+IFERROR(J240,0)/100)*VLOOKUP(B240,'1. Articles (SKUs)'!E:N,10,FALSE),"")</f>
        <v/>
      </c>
      <c r="L240" s="14" t="inlineStr"/>
    </row>
    <row r="241">
      <c r="A241" s="11" t="inlineStr">
        <is>
          <t>FT9</t>
        </is>
      </c>
      <c r="B241" s="11" t="inlineStr">
        <is>
          <t>GPTE80</t>
        </is>
      </c>
      <c r="C241" s="11" t="inlineStr">
        <is>
          <t>FULL XL</t>
        </is>
      </c>
      <c r="D241" s="11" t="inlineStr">
        <is>
          <t>Polybag</t>
        </is>
      </c>
      <c r="E241" s="11" t="inlineStr">
        <is>
          <t>Bag material</t>
        </is>
      </c>
      <c r="F241" s="11" t="inlineStr">
        <is>
          <t>12S (Thickness)- Transparent PVC Bag with 7S(Thickness) White PVC White Binding all around seam and 3# Nylon Coil White Zipper(No Hanger Loop on top)</t>
        </is>
      </c>
      <c r="G241" s="11" t="inlineStr"/>
      <c r="H241" s="11" t="inlineStr"/>
      <c r="I241" s="10" t="n">
        <v>1</v>
      </c>
      <c r="J241" s="14" t="n">
        <v>2</v>
      </c>
      <c r="K241" s="13">
        <f>IFERROR(I241*(1+IFERROR(J241,0)/100)*VLOOKUP(B241,'1. Articles (SKUs)'!E:N,10,FALSE),"")</f>
        <v/>
      </c>
      <c r="L241" s="14" t="inlineStr"/>
    </row>
    <row r="242">
      <c r="A242" s="9" t="inlineStr">
        <is>
          <t>FT9</t>
        </is>
      </c>
      <c r="B242" s="9" t="inlineStr">
        <is>
          <t>GPTE80</t>
        </is>
      </c>
      <c r="C242" s="9" t="inlineStr">
        <is>
          <t>FULL XL</t>
        </is>
      </c>
      <c r="D242" s="9" t="inlineStr">
        <is>
          <t>Insert Card</t>
        </is>
      </c>
      <c r="E242" s="9" t="inlineStr">
        <is>
          <t>Color paper insert material</t>
        </is>
      </c>
      <c r="F242" s="9" t="inlineStr">
        <is>
          <t>Printed Insert quality -  INSERT (“U” Shape) - Insert Material: 250g-300g White Card Paper with Coating both side</t>
        </is>
      </c>
      <c r="G242" s="9" t="inlineStr"/>
      <c r="H242" s="9" t="inlineStr"/>
      <c r="I242" s="10" t="n">
        <v>1</v>
      </c>
      <c r="J242" s="14" t="n">
        <v>2</v>
      </c>
      <c r="K242" s="13">
        <f>IFERROR(I242*(1+IFERROR(J242,0)/100)*VLOOKUP(B242,'1. Articles (SKUs)'!E:N,10,FALSE),"")</f>
        <v/>
      </c>
      <c r="L242" s="14" t="inlineStr"/>
    </row>
    <row r="243">
      <c r="A243" s="11" t="inlineStr">
        <is>
          <t>FT9</t>
        </is>
      </c>
      <c r="B243" s="11" t="inlineStr">
        <is>
          <t>GPTE80</t>
        </is>
      </c>
      <c r="C243" s="11" t="inlineStr">
        <is>
          <t>FULL XL</t>
        </is>
      </c>
      <c r="D243" s="11" t="inlineStr">
        <is>
          <t>Stiffener</t>
        </is>
      </c>
      <c r="E243" s="11" t="inlineStr">
        <is>
          <t>Cardboard material(Stiffener)</t>
        </is>
      </c>
      <c r="F243" s="11" t="inlineStr">
        <is>
          <t>Packaging inside need to put a “U”  1 ply thickness(1 layers with 1 layer corrugated ) in White Cardboard to maintain the shape before putting into the box</t>
        </is>
      </c>
      <c r="G243" s="11" t="inlineStr"/>
      <c r="H243" s="11" t="inlineStr"/>
      <c r="I243" s="10" t="n">
        <v>1</v>
      </c>
      <c r="J243" s="14" t="n">
        <v>2</v>
      </c>
      <c r="K243" s="13">
        <f>IFERROR(I243*(1+IFERROR(J243,0)/100)*VLOOKUP(B243,'1. Articles (SKUs)'!E:N,10,FALSE),"")</f>
        <v/>
      </c>
      <c r="L243" s="14" t="inlineStr"/>
    </row>
    <row r="244">
      <c r="A244" s="9" t="inlineStr">
        <is>
          <t>FT9</t>
        </is>
      </c>
      <c r="B244" s="9" t="inlineStr">
        <is>
          <t>GPTE50</t>
        </is>
      </c>
      <c r="C244" s="9" t="inlineStr">
        <is>
          <t>QUEEN</t>
        </is>
      </c>
      <c r="D244" s="9" t="inlineStr">
        <is>
          <t>Label</t>
        </is>
      </c>
      <c r="E244" s="9" t="inlineStr">
        <is>
          <t>Non woven label with coating</t>
        </is>
      </c>
      <c r="F244" s="9" t="inlineStr">
        <is>
          <t>3M non woven material with white ground / black color font  (INK CANNOT DISCOLORATION AND STAIN ON PRODUCT)</t>
        </is>
      </c>
      <c r="G244" s="9" t="inlineStr">
        <is>
          <t>4.0cmX7.0cm</t>
        </is>
      </c>
      <c r="H244" s="9" t="inlineStr">
        <is>
          <t>Position of Law Tag label – Sewing at the middle of short side</t>
        </is>
      </c>
      <c r="I244" s="10" t="n">
        <v>1</v>
      </c>
      <c r="J244" s="14" t="n">
        <v>2</v>
      </c>
      <c r="K244" s="13">
        <f>IFERROR(I244*(1+IFERROR(J244,0)/100)*VLOOKUP(B244,'1. Articles (SKUs)'!E:N,10,FALSE),"")</f>
        <v/>
      </c>
      <c r="L244" s="14" t="inlineStr"/>
    </row>
    <row r="245">
      <c r="A245" s="11" t="inlineStr">
        <is>
          <t>FT9</t>
        </is>
      </c>
      <c r="B245" s="11" t="inlineStr">
        <is>
          <t>GPTE50</t>
        </is>
      </c>
      <c r="C245" s="11" t="inlineStr">
        <is>
          <t>QUEEN</t>
        </is>
      </c>
      <c r="D245" s="11" t="inlineStr">
        <is>
          <t>Label</t>
        </is>
      </c>
      <c r="E245" s="11" t="inlineStr">
        <is>
          <t>Non woven label with coating</t>
        </is>
      </c>
      <c r="F245" s="11" t="inlineStr">
        <is>
          <t>3M non woven material with white ground / black color font  (INK CANNOT DISCOLORATION AND STAIN ON PRODUCT)</t>
        </is>
      </c>
      <c r="G245" s="11" t="inlineStr">
        <is>
          <t>4.0cmX3.0cm</t>
        </is>
      </c>
      <c r="H245" s="11" t="inlineStr">
        <is>
          <t>Next the law tag label</t>
        </is>
      </c>
      <c r="I245" s="10" t="n">
        <v>1</v>
      </c>
      <c r="J245" s="14" t="n">
        <v>2</v>
      </c>
      <c r="K245" s="13">
        <f>IFERROR(I245*(1+IFERROR(J245,0)/100)*VLOOKUP(B245,'1. Articles (SKUs)'!E:N,10,FALSE),"")</f>
        <v/>
      </c>
      <c r="L245" s="14" t="inlineStr"/>
    </row>
    <row r="246">
      <c r="A246" s="9" t="inlineStr">
        <is>
          <t>FT9</t>
        </is>
      </c>
      <c r="B246" s="9" t="inlineStr">
        <is>
          <t>GPTE50</t>
        </is>
      </c>
      <c r="C246" s="9" t="inlineStr">
        <is>
          <t>QUEEN</t>
        </is>
      </c>
      <c r="D246" s="9" t="inlineStr">
        <is>
          <t>Packaging</t>
        </is>
      </c>
      <c r="E246" s="9" t="inlineStr">
        <is>
          <t>Packaging type</t>
        </is>
      </c>
      <c r="F246" s="9" t="inlineStr">
        <is>
          <t>Color paper insert with vinyl PVC Bag with white bound seam &amp; inside cardboard wrapped by product(Stiffener)</t>
        </is>
      </c>
      <c r="G246" s="9" t="inlineStr"/>
      <c r="H246" s="9" t="inlineStr"/>
      <c r="I246" s="10" t="n">
        <v>1</v>
      </c>
      <c r="J246" s="14" t="n">
        <v>2</v>
      </c>
      <c r="K246" s="13">
        <f>IFERROR(I246*(1+IFERROR(J246,0)/100)*VLOOKUP(B246,'1. Articles (SKUs)'!E:N,10,FALSE),"")</f>
        <v/>
      </c>
      <c r="L246" s="14" t="inlineStr"/>
    </row>
    <row r="247">
      <c r="A247" s="11" t="inlineStr">
        <is>
          <t>FT9</t>
        </is>
      </c>
      <c r="B247" s="11" t="inlineStr">
        <is>
          <t>GPTE50</t>
        </is>
      </c>
      <c r="C247" s="11" t="inlineStr">
        <is>
          <t>QUEEN</t>
        </is>
      </c>
      <c r="D247" s="11" t="inlineStr">
        <is>
          <t>Polybag</t>
        </is>
      </c>
      <c r="E247" s="11" t="inlineStr">
        <is>
          <t>Bag material</t>
        </is>
      </c>
      <c r="F247" s="11" t="inlineStr">
        <is>
          <t>12S (Thickness)- Transparent PVC Bag with 7S(Thickness) White PVC White Binding all around seam and 3# Nylon Coil White Zipper(No Hanger Loop on top)</t>
        </is>
      </c>
      <c r="G247" s="11" t="inlineStr"/>
      <c r="H247" s="11" t="inlineStr"/>
      <c r="I247" s="10" t="n">
        <v>1</v>
      </c>
      <c r="J247" s="14" t="n">
        <v>2</v>
      </c>
      <c r="K247" s="13">
        <f>IFERROR(I247*(1+IFERROR(J247,0)/100)*VLOOKUP(B247,'1. Articles (SKUs)'!E:N,10,FALSE),"")</f>
        <v/>
      </c>
      <c r="L247" s="14" t="inlineStr"/>
    </row>
    <row r="248">
      <c r="A248" s="9" t="inlineStr">
        <is>
          <t>FT9</t>
        </is>
      </c>
      <c r="B248" s="9" t="inlineStr">
        <is>
          <t>GPTE50</t>
        </is>
      </c>
      <c r="C248" s="9" t="inlineStr">
        <is>
          <t>QUEEN</t>
        </is>
      </c>
      <c r="D248" s="9" t="inlineStr">
        <is>
          <t>Insert Card</t>
        </is>
      </c>
      <c r="E248" s="9" t="inlineStr">
        <is>
          <t>Color paper insert material</t>
        </is>
      </c>
      <c r="F248" s="9" t="inlineStr">
        <is>
          <t>Printed Insert quality -  INSERT (“U” Shape) - Insert Material: 250g-300g White Card Paper with Coating both side</t>
        </is>
      </c>
      <c r="G248" s="9" t="inlineStr"/>
      <c r="H248" s="9" t="inlineStr"/>
      <c r="I248" s="10" t="n">
        <v>1</v>
      </c>
      <c r="J248" s="14" t="n">
        <v>2</v>
      </c>
      <c r="K248" s="13">
        <f>IFERROR(I248*(1+IFERROR(J248,0)/100)*VLOOKUP(B248,'1. Articles (SKUs)'!E:N,10,FALSE),"")</f>
        <v/>
      </c>
      <c r="L248" s="14" t="inlineStr"/>
    </row>
    <row r="249">
      <c r="A249" s="11" t="inlineStr">
        <is>
          <t>FT9</t>
        </is>
      </c>
      <c r="B249" s="11" t="inlineStr">
        <is>
          <t>GPTE50</t>
        </is>
      </c>
      <c r="C249" s="11" t="inlineStr">
        <is>
          <t>QUEEN</t>
        </is>
      </c>
      <c r="D249" s="11" t="inlineStr">
        <is>
          <t>Stiffener</t>
        </is>
      </c>
      <c r="E249" s="11" t="inlineStr">
        <is>
          <t>Cardboard material(Stiffener)</t>
        </is>
      </c>
      <c r="F249" s="11" t="inlineStr">
        <is>
          <t>Packaging inside need to put a “U”  1 ply thickness(1 layers with 1 layer corrugated ) in White Cardboard to maintain the shape before putting into the box</t>
        </is>
      </c>
      <c r="G249" s="11" t="inlineStr"/>
      <c r="H249" s="11" t="inlineStr"/>
      <c r="I249" s="10" t="n">
        <v>1</v>
      </c>
      <c r="J249" s="14" t="n">
        <v>2</v>
      </c>
      <c r="K249" s="13">
        <f>IFERROR(I249*(1+IFERROR(J249,0)/100)*VLOOKUP(B249,'1. Articles (SKUs)'!E:N,10,FALSE),"")</f>
        <v/>
      </c>
      <c r="L249" s="14" t="inlineStr"/>
    </row>
    <row r="250">
      <c r="A250" s="9" t="inlineStr">
        <is>
          <t>FT9</t>
        </is>
      </c>
      <c r="B250" s="9" t="inlineStr">
        <is>
          <t>GPTE78</t>
        </is>
      </c>
      <c r="C250" s="9" t="inlineStr">
        <is>
          <t>KING</t>
        </is>
      </c>
      <c r="D250" s="9" t="inlineStr">
        <is>
          <t>Label</t>
        </is>
      </c>
      <c r="E250" s="9" t="inlineStr">
        <is>
          <t>Non woven label with coating</t>
        </is>
      </c>
      <c r="F250" s="9" t="inlineStr">
        <is>
          <t>3M non woven material with white ground / black color font  (INK CANNOT DISCOLORATION AND STAIN ON PRODUCT)</t>
        </is>
      </c>
      <c r="G250" s="9" t="inlineStr">
        <is>
          <t>4.0cmX7.0cm</t>
        </is>
      </c>
      <c r="H250" s="9" t="inlineStr">
        <is>
          <t>Position of Law Tag label – Sewing at the middle of short side</t>
        </is>
      </c>
      <c r="I250" s="10" t="n">
        <v>1</v>
      </c>
      <c r="J250" s="14" t="n">
        <v>2</v>
      </c>
      <c r="K250" s="13">
        <f>IFERROR(I250*(1+IFERROR(J250,0)/100)*VLOOKUP(B250,'1. Articles (SKUs)'!E:N,10,FALSE),"")</f>
        <v/>
      </c>
      <c r="L250" s="14" t="inlineStr"/>
    </row>
    <row r="251">
      <c r="A251" s="11" t="inlineStr">
        <is>
          <t>FT9</t>
        </is>
      </c>
      <c r="B251" s="11" t="inlineStr">
        <is>
          <t>GPTE78</t>
        </is>
      </c>
      <c r="C251" s="11" t="inlineStr">
        <is>
          <t>KING</t>
        </is>
      </c>
      <c r="D251" s="11" t="inlineStr">
        <is>
          <t>Label</t>
        </is>
      </c>
      <c r="E251" s="11" t="inlineStr">
        <is>
          <t>Non woven label with coating</t>
        </is>
      </c>
      <c r="F251" s="11" t="inlineStr">
        <is>
          <t>3M non woven material with white ground / black color font  (INK CANNOT DISCOLORATION AND STAIN ON PRODUCT)</t>
        </is>
      </c>
      <c r="G251" s="11" t="inlineStr">
        <is>
          <t>4.0cmX3.0cm</t>
        </is>
      </c>
      <c r="H251" s="11" t="inlineStr">
        <is>
          <t>Next the law tag label</t>
        </is>
      </c>
      <c r="I251" s="10" t="n">
        <v>1</v>
      </c>
      <c r="J251" s="14" t="n">
        <v>2</v>
      </c>
      <c r="K251" s="13">
        <f>IFERROR(I251*(1+IFERROR(J251,0)/100)*VLOOKUP(B251,'1. Articles (SKUs)'!E:N,10,FALSE),"")</f>
        <v/>
      </c>
      <c r="L251" s="14" t="inlineStr"/>
    </row>
    <row r="252">
      <c r="A252" s="9" t="inlineStr">
        <is>
          <t>FT9</t>
        </is>
      </c>
      <c r="B252" s="9" t="inlineStr">
        <is>
          <t>GPTE78</t>
        </is>
      </c>
      <c r="C252" s="9" t="inlineStr">
        <is>
          <t>KING</t>
        </is>
      </c>
      <c r="D252" s="9" t="inlineStr">
        <is>
          <t>Packaging</t>
        </is>
      </c>
      <c r="E252" s="9" t="inlineStr">
        <is>
          <t>Packaging type</t>
        </is>
      </c>
      <c r="F252" s="9" t="inlineStr">
        <is>
          <t>Color paper insert with vinyl PVC Bag with white bound seam &amp; inside cardboard wrapped by product(Stiffener)</t>
        </is>
      </c>
      <c r="G252" s="9" t="inlineStr"/>
      <c r="H252" s="9" t="inlineStr"/>
      <c r="I252" s="10" t="n">
        <v>1</v>
      </c>
      <c r="J252" s="14" t="n">
        <v>2</v>
      </c>
      <c r="K252" s="13">
        <f>IFERROR(I252*(1+IFERROR(J252,0)/100)*VLOOKUP(B252,'1. Articles (SKUs)'!E:N,10,FALSE),"")</f>
        <v/>
      </c>
      <c r="L252" s="14" t="inlineStr"/>
    </row>
    <row r="253">
      <c r="A253" s="11" t="inlineStr">
        <is>
          <t>FT9</t>
        </is>
      </c>
      <c r="B253" s="11" t="inlineStr">
        <is>
          <t>GPTE78</t>
        </is>
      </c>
      <c r="C253" s="11" t="inlineStr">
        <is>
          <t>KING</t>
        </is>
      </c>
      <c r="D253" s="11" t="inlineStr">
        <is>
          <t>Polybag</t>
        </is>
      </c>
      <c r="E253" s="11" t="inlineStr">
        <is>
          <t>Bag material</t>
        </is>
      </c>
      <c r="F253" s="11" t="inlineStr">
        <is>
          <t>12S (Thickness)- Transparent PVC Bag with 7S(Thickness) White PVC White Binding all around seam and 3# Nylon Coil White Zipper(No Hanger Loop on top)</t>
        </is>
      </c>
      <c r="G253" s="11" t="inlineStr"/>
      <c r="H253" s="11" t="inlineStr"/>
      <c r="I253" s="10" t="n">
        <v>1</v>
      </c>
      <c r="J253" s="14" t="n">
        <v>2</v>
      </c>
      <c r="K253" s="13">
        <f>IFERROR(I253*(1+IFERROR(J253,0)/100)*VLOOKUP(B253,'1. Articles (SKUs)'!E:N,10,FALSE),"")</f>
        <v/>
      </c>
      <c r="L253" s="14" t="inlineStr"/>
    </row>
    <row r="254">
      <c r="A254" s="9" t="inlineStr">
        <is>
          <t>FT9</t>
        </is>
      </c>
      <c r="B254" s="9" t="inlineStr">
        <is>
          <t>GPTE78</t>
        </is>
      </c>
      <c r="C254" s="9" t="inlineStr">
        <is>
          <t>KING</t>
        </is>
      </c>
      <c r="D254" s="9" t="inlineStr">
        <is>
          <t>Insert Card</t>
        </is>
      </c>
      <c r="E254" s="9" t="inlineStr">
        <is>
          <t>Color paper insert material</t>
        </is>
      </c>
      <c r="F254" s="9" t="inlineStr">
        <is>
          <t>Printed Insert quality -  INSERT (“U” Shape) - Insert Material: 250g-300g White Card Paper with Coating both side</t>
        </is>
      </c>
      <c r="G254" s="9" t="inlineStr"/>
      <c r="H254" s="9" t="inlineStr"/>
      <c r="I254" s="10" t="n">
        <v>1</v>
      </c>
      <c r="J254" s="14" t="n">
        <v>2</v>
      </c>
      <c r="K254" s="13">
        <f>IFERROR(I254*(1+IFERROR(J254,0)/100)*VLOOKUP(B254,'1. Articles (SKUs)'!E:N,10,FALSE),"")</f>
        <v/>
      </c>
      <c r="L254" s="14" t="inlineStr"/>
    </row>
    <row r="255">
      <c r="A255" s="11" t="inlineStr">
        <is>
          <t>FT9</t>
        </is>
      </c>
      <c r="B255" s="11" t="inlineStr">
        <is>
          <t>GPTE78</t>
        </is>
      </c>
      <c r="C255" s="11" t="inlineStr">
        <is>
          <t>KING</t>
        </is>
      </c>
      <c r="D255" s="11" t="inlineStr">
        <is>
          <t>Stiffener</t>
        </is>
      </c>
      <c r="E255" s="11" t="inlineStr">
        <is>
          <t>Cardboard material(Stiffener)</t>
        </is>
      </c>
      <c r="F255" s="11" t="inlineStr">
        <is>
          <t>Packaging inside need to put a “U”  1 ply thickness(1 layers with 1 layer corrugated ) in White Cardboard to maintain the shape before putting into the box</t>
        </is>
      </c>
      <c r="G255" s="11" t="inlineStr"/>
      <c r="H255" s="11" t="inlineStr"/>
      <c r="I255" s="10" t="n">
        <v>1</v>
      </c>
      <c r="J255" s="14" t="n">
        <v>2</v>
      </c>
      <c r="K255" s="13">
        <f>IFERROR(I255*(1+IFERROR(J255,0)/100)*VLOOKUP(B255,'1. Articles (SKUs)'!E:N,10,FALSE),"")</f>
        <v/>
      </c>
      <c r="L255" s="14" t="inlineStr"/>
    </row>
    <row r="256">
      <c r="A256" s="9" t="inlineStr">
        <is>
          <t>FT9</t>
        </is>
      </c>
      <c r="B256" s="9" t="inlineStr">
        <is>
          <t>GPTE72</t>
        </is>
      </c>
      <c r="C256" s="9" t="inlineStr">
        <is>
          <t>CAL KING</t>
        </is>
      </c>
      <c r="D256" s="9" t="inlineStr">
        <is>
          <t>Label</t>
        </is>
      </c>
      <c r="E256" s="9" t="inlineStr">
        <is>
          <t>Non woven label with coating</t>
        </is>
      </c>
      <c r="F256" s="9" t="inlineStr">
        <is>
          <t>3M non woven material with white ground / black color font  (INK CANNOT DISCOLORATION AND STAIN ON PRODUCT)</t>
        </is>
      </c>
      <c r="G256" s="9" t="inlineStr">
        <is>
          <t>4.0cmX7.0cm</t>
        </is>
      </c>
      <c r="H256" s="9" t="inlineStr">
        <is>
          <t>Position of Law Tag label – Sewing at the middle of short side</t>
        </is>
      </c>
      <c r="I256" s="10" t="n">
        <v>1</v>
      </c>
      <c r="J256" s="14" t="n">
        <v>2</v>
      </c>
      <c r="K256" s="13">
        <f>IFERROR(I256*(1+IFERROR(J256,0)/100)*VLOOKUP(B256,'1. Articles (SKUs)'!E:N,10,FALSE),"")</f>
        <v/>
      </c>
      <c r="L256" s="14" t="inlineStr"/>
    </row>
    <row r="257">
      <c r="A257" s="11" t="inlineStr">
        <is>
          <t>FT9</t>
        </is>
      </c>
      <c r="B257" s="11" t="inlineStr">
        <is>
          <t>GPTE72</t>
        </is>
      </c>
      <c r="C257" s="11" t="inlineStr">
        <is>
          <t>CAL KING</t>
        </is>
      </c>
      <c r="D257" s="11" t="inlineStr">
        <is>
          <t>Label</t>
        </is>
      </c>
      <c r="E257" s="11" t="inlineStr">
        <is>
          <t>Non woven label with coating</t>
        </is>
      </c>
      <c r="F257" s="11" t="inlineStr">
        <is>
          <t>3M non woven material with white ground / black color font  (INK CANNOT DISCOLORATION AND STAIN ON PRODUCT)</t>
        </is>
      </c>
      <c r="G257" s="11" t="inlineStr">
        <is>
          <t>4.0cmX3.0cm</t>
        </is>
      </c>
      <c r="H257" s="11" t="inlineStr">
        <is>
          <t>Next the law tag label</t>
        </is>
      </c>
      <c r="I257" s="10" t="n">
        <v>1</v>
      </c>
      <c r="J257" s="14" t="n">
        <v>2</v>
      </c>
      <c r="K257" s="13">
        <f>IFERROR(I257*(1+IFERROR(J257,0)/100)*VLOOKUP(B257,'1. Articles (SKUs)'!E:N,10,FALSE),"")</f>
        <v/>
      </c>
      <c r="L257" s="14" t="inlineStr"/>
    </row>
    <row r="258">
      <c r="A258" s="9" t="inlineStr">
        <is>
          <t>FT9</t>
        </is>
      </c>
      <c r="B258" s="9" t="inlineStr">
        <is>
          <t>GPTE72</t>
        </is>
      </c>
      <c r="C258" s="9" t="inlineStr">
        <is>
          <t>CAL KING</t>
        </is>
      </c>
      <c r="D258" s="9" t="inlineStr">
        <is>
          <t>Packaging</t>
        </is>
      </c>
      <c r="E258" s="9" t="inlineStr">
        <is>
          <t>Packaging type</t>
        </is>
      </c>
      <c r="F258" s="9" t="inlineStr">
        <is>
          <t>Color paper insert with vinyl PVC Bag with white bound seam &amp; inside cardboard wrapped by product(Stiffener)</t>
        </is>
      </c>
      <c r="G258" s="9" t="inlineStr"/>
      <c r="H258" s="9" t="inlineStr"/>
      <c r="I258" s="10" t="n">
        <v>1</v>
      </c>
      <c r="J258" s="14" t="n">
        <v>2</v>
      </c>
      <c r="K258" s="13">
        <f>IFERROR(I258*(1+IFERROR(J258,0)/100)*VLOOKUP(B258,'1. Articles (SKUs)'!E:N,10,FALSE),"")</f>
        <v/>
      </c>
      <c r="L258" s="14" t="inlineStr"/>
    </row>
    <row r="259">
      <c r="A259" s="11" t="inlineStr">
        <is>
          <t>FT9</t>
        </is>
      </c>
      <c r="B259" s="11" t="inlineStr">
        <is>
          <t>GPTE72</t>
        </is>
      </c>
      <c r="C259" s="11" t="inlineStr">
        <is>
          <t>CAL KING</t>
        </is>
      </c>
      <c r="D259" s="11" t="inlineStr">
        <is>
          <t>Polybag</t>
        </is>
      </c>
      <c r="E259" s="11" t="inlineStr">
        <is>
          <t>Bag material</t>
        </is>
      </c>
      <c r="F259" s="11" t="inlineStr">
        <is>
          <t>12S (Thickness)- Transparent PVC Bag with 7S(Thickness) White PVC White Binding all around seam and 3# Nylon Coil White Zipper(No Hanger Loop on top)</t>
        </is>
      </c>
      <c r="G259" s="11" t="inlineStr"/>
      <c r="H259" s="11" t="inlineStr"/>
      <c r="I259" s="10" t="n">
        <v>1</v>
      </c>
      <c r="J259" s="14" t="n">
        <v>2</v>
      </c>
      <c r="K259" s="13">
        <f>IFERROR(I259*(1+IFERROR(J259,0)/100)*VLOOKUP(B259,'1. Articles (SKUs)'!E:N,10,FALSE),"")</f>
        <v/>
      </c>
      <c r="L259" s="14" t="inlineStr"/>
    </row>
    <row r="260">
      <c r="A260" s="9" t="inlineStr">
        <is>
          <t>FT9</t>
        </is>
      </c>
      <c r="B260" s="9" t="inlineStr">
        <is>
          <t>GPTE72</t>
        </is>
      </c>
      <c r="C260" s="9" t="inlineStr">
        <is>
          <t>CAL KING</t>
        </is>
      </c>
      <c r="D260" s="9" t="inlineStr">
        <is>
          <t>Insert Card</t>
        </is>
      </c>
      <c r="E260" s="9" t="inlineStr">
        <is>
          <t>Color paper insert material</t>
        </is>
      </c>
      <c r="F260" s="9" t="inlineStr">
        <is>
          <t>Printed Insert quality -  INSERT (“U” Shape) - Insert Material: 250g-300g White Card Paper with Coating both side</t>
        </is>
      </c>
      <c r="G260" s="9" t="inlineStr"/>
      <c r="H260" s="9" t="inlineStr"/>
      <c r="I260" s="10" t="n">
        <v>1</v>
      </c>
      <c r="J260" s="14" t="n">
        <v>2</v>
      </c>
      <c r="K260" s="13">
        <f>IFERROR(I260*(1+IFERROR(J260,0)/100)*VLOOKUP(B260,'1. Articles (SKUs)'!E:N,10,FALSE),"")</f>
        <v/>
      </c>
      <c r="L260" s="14" t="inlineStr"/>
    </row>
    <row r="261">
      <c r="A261" s="11" t="inlineStr">
        <is>
          <t>FT9</t>
        </is>
      </c>
      <c r="B261" s="11" t="inlineStr">
        <is>
          <t>GPTE72</t>
        </is>
      </c>
      <c r="C261" s="11" t="inlineStr">
        <is>
          <t>CAL KING</t>
        </is>
      </c>
      <c r="D261" s="11" t="inlineStr">
        <is>
          <t>Stiffener</t>
        </is>
      </c>
      <c r="E261" s="11" t="inlineStr">
        <is>
          <t>Cardboard material(Stiffener)</t>
        </is>
      </c>
      <c r="F261" s="11" t="inlineStr">
        <is>
          <t>Packaging inside need to put a “U”  1 ply thickness(1 layers with 1 layer corrugated ) in White Cardboard to maintain the shape before putting into the box</t>
        </is>
      </c>
      <c r="G261" s="11" t="inlineStr"/>
      <c r="H261" s="11" t="inlineStr"/>
      <c r="I261" s="10" t="n">
        <v>1</v>
      </c>
      <c r="J261" s="14" t="n">
        <v>2</v>
      </c>
      <c r="K261" s="13">
        <f>IFERROR(I261*(1+IFERROR(J261,0)/100)*VLOOKUP(B261,'1. Articles (SKUs)'!E:N,10,FALSE),"")</f>
        <v/>
      </c>
      <c r="L261" s="14" t="inlineStr"/>
    </row>
    <row r="262">
      <c r="A262" s="9" t="inlineStr">
        <is>
          <t>FT9</t>
        </is>
      </c>
      <c r="B262" s="9" t="inlineStr">
        <is>
          <t>GPTE36</t>
        </is>
      </c>
      <c r="C262" s="9" t="inlineStr">
        <is>
          <t>SP CAL KING</t>
        </is>
      </c>
      <c r="D262" s="9" t="inlineStr">
        <is>
          <t>Label</t>
        </is>
      </c>
      <c r="E262" s="9" t="inlineStr">
        <is>
          <t>Non woven label with coating</t>
        </is>
      </c>
      <c r="F262" s="9" t="inlineStr">
        <is>
          <t>3M non woven material with white ground / black color font  (INK CANNOT DISCOLORATION AND STAIN ON PRODUCT)</t>
        </is>
      </c>
      <c r="G262" s="9" t="inlineStr">
        <is>
          <t>4.0cmX7.0cm</t>
        </is>
      </c>
      <c r="H262" s="9" t="inlineStr">
        <is>
          <t>Position of Law Tag label – Sewing at the middle of short side</t>
        </is>
      </c>
      <c r="I262" s="10" t="n">
        <v>1</v>
      </c>
      <c r="J262" s="14" t="n">
        <v>2</v>
      </c>
      <c r="K262" s="13">
        <f>IFERROR(I262*(1+IFERROR(J262,0)/100)*VLOOKUP(B262,'1. Articles (SKUs)'!E:N,10,FALSE),"")</f>
        <v/>
      </c>
      <c r="L262" s="14" t="inlineStr"/>
    </row>
    <row r="263">
      <c r="A263" s="11" t="inlineStr">
        <is>
          <t>FT9</t>
        </is>
      </c>
      <c r="B263" s="11" t="inlineStr">
        <is>
          <t>GPTE36</t>
        </is>
      </c>
      <c r="C263" s="11" t="inlineStr">
        <is>
          <t>SP CAL KING</t>
        </is>
      </c>
      <c r="D263" s="11" t="inlineStr">
        <is>
          <t>Label</t>
        </is>
      </c>
      <c r="E263" s="11" t="inlineStr">
        <is>
          <t>Non woven label with coating</t>
        </is>
      </c>
      <c r="F263" s="11" t="inlineStr">
        <is>
          <t>3M non woven material with white ground / black color font  (INK CANNOT DISCOLORATION AND STAIN ON PRODUCT)</t>
        </is>
      </c>
      <c r="G263" s="11" t="inlineStr">
        <is>
          <t>4.0cmX3.0cm</t>
        </is>
      </c>
      <c r="H263" s="11" t="inlineStr">
        <is>
          <t>Next the law tag label</t>
        </is>
      </c>
      <c r="I263" s="10" t="n">
        <v>1</v>
      </c>
      <c r="J263" s="14" t="n">
        <v>2</v>
      </c>
      <c r="K263" s="13">
        <f>IFERROR(I263*(1+IFERROR(J263,0)/100)*VLOOKUP(B263,'1. Articles (SKUs)'!E:N,10,FALSE),"")</f>
        <v/>
      </c>
      <c r="L263" s="14" t="inlineStr"/>
    </row>
    <row r="264">
      <c r="A264" s="9" t="inlineStr">
        <is>
          <t>FT9</t>
        </is>
      </c>
      <c r="B264" s="9" t="inlineStr">
        <is>
          <t>GPTE36</t>
        </is>
      </c>
      <c r="C264" s="9" t="inlineStr">
        <is>
          <t>SP CAL KING</t>
        </is>
      </c>
      <c r="D264" s="9" t="inlineStr">
        <is>
          <t>Packaging</t>
        </is>
      </c>
      <c r="E264" s="9" t="inlineStr">
        <is>
          <t>Packaging type</t>
        </is>
      </c>
      <c r="F264" s="9" t="inlineStr">
        <is>
          <t>Color paper insert with vinyl PVC Bag with white bound seam &amp; inside cardboard wrapped by product(Stiffener)</t>
        </is>
      </c>
      <c r="G264" s="9" t="inlineStr"/>
      <c r="H264" s="9" t="inlineStr"/>
      <c r="I264" s="10" t="n">
        <v>1</v>
      </c>
      <c r="J264" s="14" t="n">
        <v>2</v>
      </c>
      <c r="K264" s="13">
        <f>IFERROR(I264*(1+IFERROR(J264,0)/100)*VLOOKUP(B264,'1. Articles (SKUs)'!E:N,10,FALSE),"")</f>
        <v/>
      </c>
      <c r="L264" s="14" t="inlineStr"/>
    </row>
    <row r="265">
      <c r="A265" s="11" t="inlineStr">
        <is>
          <t>FT9</t>
        </is>
      </c>
      <c r="B265" s="11" t="inlineStr">
        <is>
          <t>GPTE36</t>
        </is>
      </c>
      <c r="C265" s="11" t="inlineStr">
        <is>
          <t>SP CAL KING</t>
        </is>
      </c>
      <c r="D265" s="11" t="inlineStr">
        <is>
          <t>Polybag</t>
        </is>
      </c>
      <c r="E265" s="11" t="inlineStr">
        <is>
          <t>Bag material</t>
        </is>
      </c>
      <c r="F265" s="11" t="inlineStr">
        <is>
          <t>12S (Thickness)- Transparent PVC Bag with 7S(Thickness) White PVC White Binding all around seam and 3# Nylon Coil White Zipper(No Hanger Loop on top)</t>
        </is>
      </c>
      <c r="G265" s="11" t="inlineStr"/>
      <c r="H265" s="11" t="inlineStr"/>
      <c r="I265" s="10" t="n">
        <v>1</v>
      </c>
      <c r="J265" s="14" t="n">
        <v>2</v>
      </c>
      <c r="K265" s="13">
        <f>IFERROR(I265*(1+IFERROR(J265,0)/100)*VLOOKUP(B265,'1. Articles (SKUs)'!E:N,10,FALSE),"")</f>
        <v/>
      </c>
      <c r="L265" s="14" t="inlineStr"/>
    </row>
    <row r="266">
      <c r="A266" s="9" t="inlineStr">
        <is>
          <t>FT9</t>
        </is>
      </c>
      <c r="B266" s="9" t="inlineStr">
        <is>
          <t>GPTE36</t>
        </is>
      </c>
      <c r="C266" s="9" t="inlineStr">
        <is>
          <t>SP CAL KING</t>
        </is>
      </c>
      <c r="D266" s="9" t="inlineStr">
        <is>
          <t>Insert Card</t>
        </is>
      </c>
      <c r="E266" s="9" t="inlineStr">
        <is>
          <t>Color paper insert material</t>
        </is>
      </c>
      <c r="F266" s="9" t="inlineStr">
        <is>
          <t>Printed Insert quality -  INSERT (“U” Shape) - Insert Material: 250g-300g White Card Paper with Coating both side</t>
        </is>
      </c>
      <c r="G266" s="9" t="inlineStr"/>
      <c r="H266" s="9" t="inlineStr"/>
      <c r="I266" s="10" t="n">
        <v>1</v>
      </c>
      <c r="J266" s="14" t="n">
        <v>2</v>
      </c>
      <c r="K266" s="13">
        <f>IFERROR(I266*(1+IFERROR(J266,0)/100)*VLOOKUP(B266,'1. Articles (SKUs)'!E:N,10,FALSE),"")</f>
        <v/>
      </c>
      <c r="L266" s="14" t="inlineStr"/>
    </row>
    <row r="267">
      <c r="A267" s="11" t="inlineStr">
        <is>
          <t>FT9</t>
        </is>
      </c>
      <c r="B267" s="11" t="inlineStr">
        <is>
          <t>GPTE36</t>
        </is>
      </c>
      <c r="C267" s="11" t="inlineStr">
        <is>
          <t>SP CAL KING</t>
        </is>
      </c>
      <c r="D267" s="11" t="inlineStr">
        <is>
          <t>Stiffener</t>
        </is>
      </c>
      <c r="E267" s="11" t="inlineStr">
        <is>
          <t>Cardboard material(Stiffener)</t>
        </is>
      </c>
      <c r="F267" s="11" t="inlineStr">
        <is>
          <t>Packaging inside need to put a “U”  1 ply thickness(1 layers with 1 layer corrugated ) in White Cardboard to maintain the shape before putting into the box</t>
        </is>
      </c>
      <c r="G267" s="11" t="inlineStr"/>
      <c r="H267" s="11" t="inlineStr"/>
      <c r="I267" s="10" t="n">
        <v>1</v>
      </c>
      <c r="J267" s="14" t="n">
        <v>2</v>
      </c>
      <c r="K267" s="13">
        <f>IFERROR(I267*(1+IFERROR(J267,0)/100)*VLOOKUP(B267,'1. Articles (SKUs)'!E:N,10,FALSE),"")</f>
        <v/>
      </c>
      <c r="L267" s="14" t="inlineStr"/>
    </row>
    <row r="268">
      <c r="A268" s="9" t="inlineStr">
        <is>
          <t>FT9</t>
        </is>
      </c>
      <c r="B268" s="9" t="inlineStr">
        <is>
          <t>GPTE52</t>
        </is>
      </c>
      <c r="C268" s="9" t="inlineStr">
        <is>
          <t>SPLIT HEAD QUEEN</t>
        </is>
      </c>
      <c r="D268" s="9" t="inlineStr">
        <is>
          <t>Label</t>
        </is>
      </c>
      <c r="E268" s="9" t="inlineStr">
        <is>
          <t>Non woven label with coating</t>
        </is>
      </c>
      <c r="F268" s="9" t="inlineStr">
        <is>
          <t>3M non woven material with white ground / black color font  (INK CANNOT DISCOLORATION AND STAIN ON PRODUCT)</t>
        </is>
      </c>
      <c r="G268" s="9" t="inlineStr">
        <is>
          <t>4.0cmX7.0cm</t>
        </is>
      </c>
      <c r="H268" s="9" t="inlineStr">
        <is>
          <t>Position of Law Tag label – Sewing at the middle of short side</t>
        </is>
      </c>
      <c r="I268" s="10" t="n">
        <v>1</v>
      </c>
      <c r="J268" s="14" t="n">
        <v>2</v>
      </c>
      <c r="K268" s="13">
        <f>IFERROR(I268*(1+IFERROR(J268,0)/100)*VLOOKUP(B268,'1. Articles (SKUs)'!E:N,10,FALSE),"")</f>
        <v/>
      </c>
      <c r="L268" s="14" t="inlineStr"/>
    </row>
    <row r="269">
      <c r="A269" s="11" t="inlineStr">
        <is>
          <t>FT9</t>
        </is>
      </c>
      <c r="B269" s="11" t="inlineStr">
        <is>
          <t>GPTE52</t>
        </is>
      </c>
      <c r="C269" s="11" t="inlineStr">
        <is>
          <t>SPLIT HEAD QUEEN</t>
        </is>
      </c>
      <c r="D269" s="11" t="inlineStr">
        <is>
          <t>Label</t>
        </is>
      </c>
      <c r="E269" s="11" t="inlineStr">
        <is>
          <t>Non woven label with coating</t>
        </is>
      </c>
      <c r="F269" s="11" t="inlineStr">
        <is>
          <t>3M non woven material with white ground / black color font  (INK CANNOT DISCOLORATION AND STAIN ON PRODUCT)</t>
        </is>
      </c>
      <c r="G269" s="11" t="inlineStr">
        <is>
          <t>4.0cmX3.0cm</t>
        </is>
      </c>
      <c r="H269" s="11" t="inlineStr">
        <is>
          <t>Next the law tag label</t>
        </is>
      </c>
      <c r="I269" s="10" t="n">
        <v>1</v>
      </c>
      <c r="J269" s="14" t="n">
        <v>2</v>
      </c>
      <c r="K269" s="13">
        <f>IFERROR(I269*(1+IFERROR(J269,0)/100)*VLOOKUP(B269,'1. Articles (SKUs)'!E:N,10,FALSE),"")</f>
        <v/>
      </c>
      <c r="L269" s="14" t="inlineStr"/>
    </row>
    <row r="270">
      <c r="A270" s="9" t="inlineStr">
        <is>
          <t>FT9</t>
        </is>
      </c>
      <c r="B270" s="9" t="inlineStr">
        <is>
          <t>GPTE52</t>
        </is>
      </c>
      <c r="C270" s="9" t="inlineStr">
        <is>
          <t>SPLIT HEAD QUEEN</t>
        </is>
      </c>
      <c r="D270" s="9" t="inlineStr">
        <is>
          <t>Packaging</t>
        </is>
      </c>
      <c r="E270" s="9" t="inlineStr">
        <is>
          <t>Packaging type</t>
        </is>
      </c>
      <c r="F270" s="9" t="inlineStr">
        <is>
          <t>Color paper insert with vinyl PVC Bag with white bound seam &amp; inside cardboard wrapped by product(Stiffener)</t>
        </is>
      </c>
      <c r="G270" s="9" t="inlineStr"/>
      <c r="H270" s="9" t="inlineStr"/>
      <c r="I270" s="10" t="n">
        <v>1</v>
      </c>
      <c r="J270" s="14" t="n">
        <v>2</v>
      </c>
      <c r="K270" s="13">
        <f>IFERROR(I270*(1+IFERROR(J270,0)/100)*VLOOKUP(B270,'1. Articles (SKUs)'!E:N,10,FALSE),"")</f>
        <v/>
      </c>
      <c r="L270" s="14" t="inlineStr"/>
    </row>
    <row r="271">
      <c r="A271" s="11" t="inlineStr">
        <is>
          <t>FT9</t>
        </is>
      </c>
      <c r="B271" s="11" t="inlineStr">
        <is>
          <t>GPTE52</t>
        </is>
      </c>
      <c r="C271" s="11" t="inlineStr">
        <is>
          <t>SPLIT HEAD QUEEN</t>
        </is>
      </c>
      <c r="D271" s="11" t="inlineStr">
        <is>
          <t>Polybag</t>
        </is>
      </c>
      <c r="E271" s="11" t="inlineStr">
        <is>
          <t>Bag material</t>
        </is>
      </c>
      <c r="F271" s="11" t="inlineStr">
        <is>
          <t>12S (Thickness)- Transparent PVC Bag with 7S(Thickness) White PVC White Binding all around seam and 3# Nylon Coil White Zipper(No Hanger Loop on top)</t>
        </is>
      </c>
      <c r="G271" s="11" t="inlineStr"/>
      <c r="H271" s="11" t="inlineStr"/>
      <c r="I271" s="10" t="n">
        <v>1</v>
      </c>
      <c r="J271" s="14" t="n">
        <v>2</v>
      </c>
      <c r="K271" s="13">
        <f>IFERROR(I271*(1+IFERROR(J271,0)/100)*VLOOKUP(B271,'1. Articles (SKUs)'!E:N,10,FALSE),"")</f>
        <v/>
      </c>
      <c r="L271" s="14" t="inlineStr"/>
    </row>
    <row r="272">
      <c r="A272" s="9" t="inlineStr">
        <is>
          <t>FT9</t>
        </is>
      </c>
      <c r="B272" s="9" t="inlineStr">
        <is>
          <t>GPTE52</t>
        </is>
      </c>
      <c r="C272" s="9" t="inlineStr">
        <is>
          <t>SPLIT HEAD QUEEN</t>
        </is>
      </c>
      <c r="D272" s="9" t="inlineStr">
        <is>
          <t>Insert Card</t>
        </is>
      </c>
      <c r="E272" s="9" t="inlineStr">
        <is>
          <t>Color paper insert material</t>
        </is>
      </c>
      <c r="F272" s="9" t="inlineStr">
        <is>
          <t>Printed Insert quality -  INSERT (“U” Shape) - Insert Material: 250g-300g White Card Paper with Coating both side</t>
        </is>
      </c>
      <c r="G272" s="9" t="inlineStr"/>
      <c r="H272" s="9" t="inlineStr"/>
      <c r="I272" s="10" t="n">
        <v>1</v>
      </c>
      <c r="J272" s="14" t="n">
        <v>2</v>
      </c>
      <c r="K272" s="13">
        <f>IFERROR(I272*(1+IFERROR(J272,0)/100)*VLOOKUP(B272,'1. Articles (SKUs)'!E:N,10,FALSE),"")</f>
        <v/>
      </c>
      <c r="L272" s="14" t="inlineStr"/>
    </row>
    <row r="273">
      <c r="A273" s="11" t="inlineStr">
        <is>
          <t>FT9</t>
        </is>
      </c>
      <c r="B273" s="11" t="inlineStr">
        <is>
          <t>GPTE52</t>
        </is>
      </c>
      <c r="C273" s="11" t="inlineStr">
        <is>
          <t>SPLIT HEAD QUEEN</t>
        </is>
      </c>
      <c r="D273" s="11" t="inlineStr">
        <is>
          <t>Stiffener</t>
        </is>
      </c>
      <c r="E273" s="11" t="inlineStr">
        <is>
          <t>Cardboard material(Stiffener)</t>
        </is>
      </c>
      <c r="F273" s="11" t="inlineStr">
        <is>
          <t>Packaging inside need to put a “U”  1 ply thickness(1 layers with 1 layer corrugated ) in White Cardboard to maintain the shape before putting into the box</t>
        </is>
      </c>
      <c r="G273" s="11" t="inlineStr"/>
      <c r="H273" s="11" t="inlineStr"/>
      <c r="I273" s="10" t="n">
        <v>1</v>
      </c>
      <c r="J273" s="14" t="n">
        <v>2</v>
      </c>
      <c r="K273" s="13">
        <f>IFERROR(I273*(1+IFERROR(J273,0)/100)*VLOOKUP(B273,'1. Articles (SKUs)'!E:N,10,FALSE),"")</f>
        <v/>
      </c>
      <c r="L273" s="14" t="inlineStr"/>
    </row>
    <row r="274">
      <c r="A274" s="9" t="inlineStr">
        <is>
          <t>FT9</t>
        </is>
      </c>
      <c r="B274" s="9" t="inlineStr">
        <is>
          <t>GPTE79</t>
        </is>
      </c>
      <c r="C274" s="9" t="inlineStr">
        <is>
          <t>SPLIT HEAD KING</t>
        </is>
      </c>
      <c r="D274" s="9" t="inlineStr">
        <is>
          <t>Label</t>
        </is>
      </c>
      <c r="E274" s="9" t="inlineStr">
        <is>
          <t>Non woven label with coating</t>
        </is>
      </c>
      <c r="F274" s="9" t="inlineStr">
        <is>
          <t>3M non woven material with white ground / black color font  (INK CANNOT DISCOLORATION AND STAIN ON PRODUCT)</t>
        </is>
      </c>
      <c r="G274" s="9" t="inlineStr">
        <is>
          <t>4.0cmX7.0cm</t>
        </is>
      </c>
      <c r="H274" s="9" t="inlineStr">
        <is>
          <t>Position of Law Tag label – Sewing at the middle of short side</t>
        </is>
      </c>
      <c r="I274" s="10" t="n">
        <v>1</v>
      </c>
      <c r="J274" s="14" t="n">
        <v>2</v>
      </c>
      <c r="K274" s="13">
        <f>IFERROR(I274*(1+IFERROR(J274,0)/100)*VLOOKUP(B274,'1. Articles (SKUs)'!E:N,10,FALSE),"")</f>
        <v/>
      </c>
      <c r="L274" s="14" t="inlineStr"/>
    </row>
    <row r="275">
      <c r="A275" s="11" t="inlineStr">
        <is>
          <t>FT9</t>
        </is>
      </c>
      <c r="B275" s="11" t="inlineStr">
        <is>
          <t>GPTE79</t>
        </is>
      </c>
      <c r="C275" s="11" t="inlineStr">
        <is>
          <t>SPLIT HEAD KING</t>
        </is>
      </c>
      <c r="D275" s="11" t="inlineStr">
        <is>
          <t>Label</t>
        </is>
      </c>
      <c r="E275" s="11" t="inlineStr">
        <is>
          <t>Non woven label with coating</t>
        </is>
      </c>
      <c r="F275" s="11" t="inlineStr">
        <is>
          <t>3M non woven material with white ground / black color font  (INK CANNOT DISCOLORATION AND STAIN ON PRODUCT)</t>
        </is>
      </c>
      <c r="G275" s="11" t="inlineStr">
        <is>
          <t>4.0cmX3.0cm</t>
        </is>
      </c>
      <c r="H275" s="11" t="inlineStr">
        <is>
          <t>Next the law tag label</t>
        </is>
      </c>
      <c r="I275" s="10" t="n">
        <v>1</v>
      </c>
      <c r="J275" s="14" t="n">
        <v>2</v>
      </c>
      <c r="K275" s="13">
        <f>IFERROR(I275*(1+IFERROR(J275,0)/100)*VLOOKUP(B275,'1. Articles (SKUs)'!E:N,10,FALSE),"")</f>
        <v/>
      </c>
      <c r="L275" s="14" t="inlineStr"/>
    </row>
    <row r="276">
      <c r="A276" s="9" t="inlineStr">
        <is>
          <t>FT9</t>
        </is>
      </c>
      <c r="B276" s="9" t="inlineStr">
        <is>
          <t>GPTE79</t>
        </is>
      </c>
      <c r="C276" s="9" t="inlineStr">
        <is>
          <t>SPLIT HEAD KING</t>
        </is>
      </c>
      <c r="D276" s="9" t="inlineStr">
        <is>
          <t>Packaging</t>
        </is>
      </c>
      <c r="E276" s="9" t="inlineStr">
        <is>
          <t>Packaging type</t>
        </is>
      </c>
      <c r="F276" s="9" t="inlineStr">
        <is>
          <t>Color paper insert with vinyl PVC Bag with white bound seam &amp; inside cardboard wrapped by product(Stiffener)</t>
        </is>
      </c>
      <c r="G276" s="9" t="inlineStr"/>
      <c r="H276" s="9" t="inlineStr"/>
      <c r="I276" s="10" t="n">
        <v>1</v>
      </c>
      <c r="J276" s="14" t="n">
        <v>2</v>
      </c>
      <c r="K276" s="13">
        <f>IFERROR(I276*(1+IFERROR(J276,0)/100)*VLOOKUP(B276,'1. Articles (SKUs)'!E:N,10,FALSE),"")</f>
        <v/>
      </c>
      <c r="L276" s="14" t="inlineStr"/>
    </row>
    <row r="277">
      <c r="A277" s="11" t="inlineStr">
        <is>
          <t>FT9</t>
        </is>
      </c>
      <c r="B277" s="11" t="inlineStr">
        <is>
          <t>GPTE79</t>
        </is>
      </c>
      <c r="C277" s="11" t="inlineStr">
        <is>
          <t>SPLIT HEAD KING</t>
        </is>
      </c>
      <c r="D277" s="11" t="inlineStr">
        <is>
          <t>Polybag</t>
        </is>
      </c>
      <c r="E277" s="11" t="inlineStr">
        <is>
          <t>Bag material</t>
        </is>
      </c>
      <c r="F277" s="11" t="inlineStr">
        <is>
          <t>12S (Thickness)- Transparent PVC Bag with 7S(Thickness) White PVC White Binding all around seam and 3# Nylon Coil White Zipper(No Hanger Loop on top)</t>
        </is>
      </c>
      <c r="G277" s="11" t="inlineStr"/>
      <c r="H277" s="11" t="inlineStr"/>
      <c r="I277" s="10" t="n">
        <v>1</v>
      </c>
      <c r="J277" s="14" t="n">
        <v>2</v>
      </c>
      <c r="K277" s="13">
        <f>IFERROR(I277*(1+IFERROR(J277,0)/100)*VLOOKUP(B277,'1. Articles (SKUs)'!E:N,10,FALSE),"")</f>
        <v/>
      </c>
      <c r="L277" s="14" t="inlineStr"/>
    </row>
    <row r="278">
      <c r="A278" s="9" t="inlineStr">
        <is>
          <t>FT9</t>
        </is>
      </c>
      <c r="B278" s="9" t="inlineStr">
        <is>
          <t>GPTE79</t>
        </is>
      </c>
      <c r="C278" s="9" t="inlineStr">
        <is>
          <t>SPLIT HEAD KING</t>
        </is>
      </c>
      <c r="D278" s="9" t="inlineStr">
        <is>
          <t>Insert Card</t>
        </is>
      </c>
      <c r="E278" s="9" t="inlineStr">
        <is>
          <t>Color paper insert material</t>
        </is>
      </c>
      <c r="F278" s="9" t="inlineStr">
        <is>
          <t>Printed Insert quality -  INSERT (“U” Shape) - Insert Material: 250g-300g White Card Paper with Coating both side</t>
        </is>
      </c>
      <c r="G278" s="9" t="inlineStr"/>
      <c r="H278" s="9" t="inlineStr"/>
      <c r="I278" s="10" t="n">
        <v>1</v>
      </c>
      <c r="J278" s="14" t="n">
        <v>2</v>
      </c>
      <c r="K278" s="13">
        <f>IFERROR(I278*(1+IFERROR(J278,0)/100)*VLOOKUP(B278,'1. Articles (SKUs)'!E:N,10,FALSE),"")</f>
        <v/>
      </c>
      <c r="L278" s="14" t="inlineStr"/>
    </row>
    <row r="279">
      <c r="A279" s="11" t="inlineStr">
        <is>
          <t>FT9</t>
        </is>
      </c>
      <c r="B279" s="11" t="inlineStr">
        <is>
          <t>GPTE79</t>
        </is>
      </c>
      <c r="C279" s="11" t="inlineStr">
        <is>
          <t>SPLIT HEAD KING</t>
        </is>
      </c>
      <c r="D279" s="11" t="inlineStr">
        <is>
          <t>Stiffener</t>
        </is>
      </c>
      <c r="E279" s="11" t="inlineStr">
        <is>
          <t>Cardboard material(Stiffener)</t>
        </is>
      </c>
      <c r="F279" s="11" t="inlineStr">
        <is>
          <t>Packaging inside need to put a “U”  1 ply thickness(1 layers with 1 layer corrugated ) in White Cardboard to maintain the shape before putting into the box</t>
        </is>
      </c>
      <c r="G279" s="11" t="inlineStr"/>
      <c r="H279" s="11" t="inlineStr"/>
      <c r="I279" s="10" t="n">
        <v>1</v>
      </c>
      <c r="J279" s="14" t="n">
        <v>2</v>
      </c>
      <c r="K279" s="13">
        <f>IFERROR(I279*(1+IFERROR(J279,0)/100)*VLOOKUP(B279,'1. Articles (SKUs)'!E:N,10,FALSE),"")</f>
        <v/>
      </c>
      <c r="L279" s="14" t="inlineStr"/>
    </row>
    <row r="280">
      <c r="A280" s="9" t="inlineStr">
        <is>
          <t>FT9</t>
        </is>
      </c>
      <c r="B280" s="9" t="inlineStr">
        <is>
          <t>GPSE33</t>
        </is>
      </c>
      <c r="C280" s="9" t="inlineStr">
        <is>
          <t>SLEEPER - TWIN</t>
        </is>
      </c>
      <c r="D280" s="9" t="inlineStr">
        <is>
          <t>Label</t>
        </is>
      </c>
      <c r="E280" s="9" t="inlineStr">
        <is>
          <t>Non woven label with coating</t>
        </is>
      </c>
      <c r="F280" s="9" t="inlineStr">
        <is>
          <t>3M non woven material with white ground / black color font  (INK CANNOT DISCOLORATION AND STAIN ON PRODUCT)</t>
        </is>
      </c>
      <c r="G280" s="9" t="inlineStr">
        <is>
          <t>4.0cmX7.0cm</t>
        </is>
      </c>
      <c r="H280" s="9" t="inlineStr">
        <is>
          <t>Position of Law Tag label – Sewing at the middle of short side</t>
        </is>
      </c>
      <c r="I280" s="10" t="n">
        <v>1</v>
      </c>
      <c r="J280" s="14" t="n">
        <v>2</v>
      </c>
      <c r="K280" s="13">
        <f>IFERROR(I280*(1+IFERROR(J280,0)/100)*VLOOKUP(B280,'1. Articles (SKUs)'!E:N,10,FALSE),"")</f>
        <v/>
      </c>
      <c r="L280" s="14" t="inlineStr"/>
    </row>
    <row r="281">
      <c r="A281" s="11" t="inlineStr">
        <is>
          <t>FT9</t>
        </is>
      </c>
      <c r="B281" s="11" t="inlineStr">
        <is>
          <t>GPSE33</t>
        </is>
      </c>
      <c r="C281" s="11" t="inlineStr">
        <is>
          <t>SLEEPER - TWIN</t>
        </is>
      </c>
      <c r="D281" s="11" t="inlineStr">
        <is>
          <t>Label</t>
        </is>
      </c>
      <c r="E281" s="11" t="inlineStr">
        <is>
          <t>Non woven label with coating</t>
        </is>
      </c>
      <c r="F281" s="11" t="inlineStr">
        <is>
          <t>3M non woven material with white ground / black color font  (INK CANNOT DISCOLORATION AND STAIN ON PRODUCT)</t>
        </is>
      </c>
      <c r="G281" s="11" t="inlineStr">
        <is>
          <t>4.0cmX3.0cm</t>
        </is>
      </c>
      <c r="H281" s="11" t="inlineStr">
        <is>
          <t>Next the law tag label</t>
        </is>
      </c>
      <c r="I281" s="10" t="n">
        <v>1</v>
      </c>
      <c r="J281" s="14" t="n">
        <v>2</v>
      </c>
      <c r="K281" s="13">
        <f>IFERROR(I281*(1+IFERROR(J281,0)/100)*VLOOKUP(B281,'1. Articles (SKUs)'!E:N,10,FALSE),"")</f>
        <v/>
      </c>
      <c r="L281" s="14" t="inlineStr"/>
    </row>
    <row r="282">
      <c r="A282" s="9" t="inlineStr">
        <is>
          <t>FT9</t>
        </is>
      </c>
      <c r="B282" s="9" t="inlineStr">
        <is>
          <t>GPSE33</t>
        </is>
      </c>
      <c r="C282" s="9" t="inlineStr">
        <is>
          <t>SLEEPER - TWIN</t>
        </is>
      </c>
      <c r="D282" s="9" t="inlineStr">
        <is>
          <t>Packaging</t>
        </is>
      </c>
      <c r="E282" s="9" t="inlineStr">
        <is>
          <t>Packaging type</t>
        </is>
      </c>
      <c r="F282" s="9" t="inlineStr">
        <is>
          <t>Color paper insert with vinyl PVC Bag with white bound seam &amp; inside cardboard wrapped by product(Stiffener)</t>
        </is>
      </c>
      <c r="G282" s="9" t="inlineStr"/>
      <c r="H282" s="9" t="inlineStr"/>
      <c r="I282" s="10" t="n">
        <v>1</v>
      </c>
      <c r="J282" s="14" t="n">
        <v>2</v>
      </c>
      <c r="K282" s="13">
        <f>IFERROR(I282*(1+IFERROR(J282,0)/100)*VLOOKUP(B282,'1. Articles (SKUs)'!E:N,10,FALSE),"")</f>
        <v/>
      </c>
      <c r="L282" s="14" t="inlineStr"/>
    </row>
    <row r="283">
      <c r="A283" s="11" t="inlineStr">
        <is>
          <t>FT9</t>
        </is>
      </c>
      <c r="B283" s="11" t="inlineStr">
        <is>
          <t>GPSE33</t>
        </is>
      </c>
      <c r="C283" s="11" t="inlineStr">
        <is>
          <t>SLEEPER - TWIN</t>
        </is>
      </c>
      <c r="D283" s="11" t="inlineStr">
        <is>
          <t>Polybag</t>
        </is>
      </c>
      <c r="E283" s="11" t="inlineStr">
        <is>
          <t>Bag material</t>
        </is>
      </c>
      <c r="F283" s="11" t="inlineStr">
        <is>
          <t>12S (Thickness)- Transparent PVC Bag with 7S(Thickness) White PVC White Binding all around seam and 3# Nylon Coil White Zipper(No Hanger Loop on top)</t>
        </is>
      </c>
      <c r="G283" s="11" t="inlineStr"/>
      <c r="H283" s="11" t="inlineStr"/>
      <c r="I283" s="10" t="n">
        <v>1</v>
      </c>
      <c r="J283" s="14" t="n">
        <v>2</v>
      </c>
      <c r="K283" s="13">
        <f>IFERROR(I283*(1+IFERROR(J283,0)/100)*VLOOKUP(B283,'1. Articles (SKUs)'!E:N,10,FALSE),"")</f>
        <v/>
      </c>
      <c r="L283" s="14" t="inlineStr"/>
    </row>
    <row r="284">
      <c r="A284" s="9" t="inlineStr">
        <is>
          <t>FT9</t>
        </is>
      </c>
      <c r="B284" s="9" t="inlineStr">
        <is>
          <t>GPSE33</t>
        </is>
      </c>
      <c r="C284" s="9" t="inlineStr">
        <is>
          <t>SLEEPER - TWIN</t>
        </is>
      </c>
      <c r="D284" s="9" t="inlineStr">
        <is>
          <t>Insert Card</t>
        </is>
      </c>
      <c r="E284" s="9" t="inlineStr">
        <is>
          <t>Color paper insert material</t>
        </is>
      </c>
      <c r="F284" s="9" t="inlineStr">
        <is>
          <t>Printed Insert quality -  INSERT (“U” Shape) - Insert Material: 250g-300g White Card Paper with Coating both side</t>
        </is>
      </c>
      <c r="G284" s="9" t="inlineStr"/>
      <c r="H284" s="9" t="inlineStr"/>
      <c r="I284" s="10" t="n">
        <v>1</v>
      </c>
      <c r="J284" s="14" t="n">
        <v>2</v>
      </c>
      <c r="K284" s="13">
        <f>IFERROR(I284*(1+IFERROR(J284,0)/100)*VLOOKUP(B284,'1. Articles (SKUs)'!E:N,10,FALSE),"")</f>
        <v/>
      </c>
      <c r="L284" s="14" t="inlineStr"/>
    </row>
    <row r="285">
      <c r="A285" s="11" t="inlineStr">
        <is>
          <t>FT9</t>
        </is>
      </c>
      <c r="B285" s="11" t="inlineStr">
        <is>
          <t>GPSE33</t>
        </is>
      </c>
      <c r="C285" s="11" t="inlineStr">
        <is>
          <t>SLEEPER - TWIN</t>
        </is>
      </c>
      <c r="D285" s="11" t="inlineStr">
        <is>
          <t>Stiffener</t>
        </is>
      </c>
      <c r="E285" s="11" t="inlineStr">
        <is>
          <t>Cardboard material(Stiffener)</t>
        </is>
      </c>
      <c r="F285" s="11" t="inlineStr">
        <is>
          <t>Packaging inside need to put a “U”  1 ply thickness(1 layers with 1 layer corrugated ) in White Cardboard to maintain the shape before putting into the box</t>
        </is>
      </c>
      <c r="G285" s="11" t="inlineStr"/>
      <c r="H285" s="11" t="inlineStr"/>
      <c r="I285" s="10" t="n">
        <v>1</v>
      </c>
      <c r="J285" s="14" t="n">
        <v>2</v>
      </c>
      <c r="K285" s="13">
        <f>IFERROR(I285*(1+IFERROR(J285,0)/100)*VLOOKUP(B285,'1. Articles (SKUs)'!E:N,10,FALSE),"")</f>
        <v/>
      </c>
      <c r="L285" s="14" t="inlineStr"/>
    </row>
    <row r="286">
      <c r="A286" s="9" t="inlineStr">
        <is>
          <t>FT9</t>
        </is>
      </c>
      <c r="B286" s="9" t="inlineStr">
        <is>
          <t>GPSE46</t>
        </is>
      </c>
      <c r="C286" s="9" t="inlineStr">
        <is>
          <t>SLEEPER - FULL</t>
        </is>
      </c>
      <c r="D286" s="9" t="inlineStr">
        <is>
          <t>Label</t>
        </is>
      </c>
      <c r="E286" s="9" t="inlineStr">
        <is>
          <t>Non woven label with coating</t>
        </is>
      </c>
      <c r="F286" s="9" t="inlineStr">
        <is>
          <t>3M non woven material with white ground / black color font  (INK CANNOT DISCOLORATION AND STAIN ON PRODUCT)</t>
        </is>
      </c>
      <c r="G286" s="9" t="inlineStr">
        <is>
          <t>4.0cmX7.0cm</t>
        </is>
      </c>
      <c r="H286" s="9" t="inlineStr">
        <is>
          <t>Position of Law Tag label – Sewing at the middle of short side</t>
        </is>
      </c>
      <c r="I286" s="10" t="n">
        <v>1</v>
      </c>
      <c r="J286" s="14" t="n">
        <v>2</v>
      </c>
      <c r="K286" s="13">
        <f>IFERROR(I286*(1+IFERROR(J286,0)/100)*VLOOKUP(B286,'1. Articles (SKUs)'!E:N,10,FALSE),"")</f>
        <v/>
      </c>
      <c r="L286" s="14" t="inlineStr"/>
    </row>
    <row r="287">
      <c r="A287" s="11" t="inlineStr">
        <is>
          <t>FT9</t>
        </is>
      </c>
      <c r="B287" s="11" t="inlineStr">
        <is>
          <t>GPSE46</t>
        </is>
      </c>
      <c r="C287" s="11" t="inlineStr">
        <is>
          <t>SLEEPER - FULL</t>
        </is>
      </c>
      <c r="D287" s="11" t="inlineStr">
        <is>
          <t>Label</t>
        </is>
      </c>
      <c r="E287" s="11" t="inlineStr">
        <is>
          <t>Non woven label with coating</t>
        </is>
      </c>
      <c r="F287" s="11" t="inlineStr">
        <is>
          <t>3M non woven material with white ground / black color font  (INK CANNOT DISCOLORATION AND STAIN ON PRODUCT)</t>
        </is>
      </c>
      <c r="G287" s="11" t="inlineStr">
        <is>
          <t>4.0cmX3.0cm</t>
        </is>
      </c>
      <c r="H287" s="11" t="inlineStr">
        <is>
          <t>Next the law tag label</t>
        </is>
      </c>
      <c r="I287" s="10" t="n">
        <v>1</v>
      </c>
      <c r="J287" s="14" t="n">
        <v>2</v>
      </c>
      <c r="K287" s="13">
        <f>IFERROR(I287*(1+IFERROR(J287,0)/100)*VLOOKUP(B287,'1. Articles (SKUs)'!E:N,10,FALSE),"")</f>
        <v/>
      </c>
      <c r="L287" s="14" t="inlineStr"/>
    </row>
    <row r="288">
      <c r="A288" s="9" t="inlineStr">
        <is>
          <t>FT9</t>
        </is>
      </c>
      <c r="B288" s="9" t="inlineStr">
        <is>
          <t>GPSE46</t>
        </is>
      </c>
      <c r="C288" s="9" t="inlineStr">
        <is>
          <t>SLEEPER - FULL</t>
        </is>
      </c>
      <c r="D288" s="9" t="inlineStr">
        <is>
          <t>Packaging</t>
        </is>
      </c>
      <c r="E288" s="9" t="inlineStr">
        <is>
          <t>Packaging type</t>
        </is>
      </c>
      <c r="F288" s="9" t="inlineStr">
        <is>
          <t>Color paper insert with vinyl PVC Bag with white bound seam &amp; inside cardboard wrapped by product(Stiffener)</t>
        </is>
      </c>
      <c r="G288" s="9" t="inlineStr"/>
      <c r="H288" s="9" t="inlineStr"/>
      <c r="I288" s="10" t="n">
        <v>1</v>
      </c>
      <c r="J288" s="14" t="n">
        <v>2</v>
      </c>
      <c r="K288" s="13">
        <f>IFERROR(I288*(1+IFERROR(J288,0)/100)*VLOOKUP(B288,'1. Articles (SKUs)'!E:N,10,FALSE),"")</f>
        <v/>
      </c>
      <c r="L288" s="14" t="inlineStr"/>
    </row>
    <row r="289">
      <c r="A289" s="11" t="inlineStr">
        <is>
          <t>FT9</t>
        </is>
      </c>
      <c r="B289" s="11" t="inlineStr">
        <is>
          <t>GPSE46</t>
        </is>
      </c>
      <c r="C289" s="11" t="inlineStr">
        <is>
          <t>SLEEPER - FULL</t>
        </is>
      </c>
      <c r="D289" s="11" t="inlineStr">
        <is>
          <t>Polybag</t>
        </is>
      </c>
      <c r="E289" s="11" t="inlineStr">
        <is>
          <t>Bag material</t>
        </is>
      </c>
      <c r="F289" s="11" t="inlineStr">
        <is>
          <t>12S (Thickness)- Transparent PVC Bag with 7S(Thickness) White PVC White Binding all around seam and 3# Nylon Coil White Zipper(No Hanger Loop on top)</t>
        </is>
      </c>
      <c r="G289" s="11" t="inlineStr"/>
      <c r="H289" s="11" t="inlineStr"/>
      <c r="I289" s="10" t="n">
        <v>1</v>
      </c>
      <c r="J289" s="14" t="n">
        <v>2</v>
      </c>
      <c r="K289" s="13">
        <f>IFERROR(I289*(1+IFERROR(J289,0)/100)*VLOOKUP(B289,'1. Articles (SKUs)'!E:N,10,FALSE),"")</f>
        <v/>
      </c>
      <c r="L289" s="14" t="inlineStr"/>
    </row>
    <row r="290">
      <c r="A290" s="9" t="inlineStr">
        <is>
          <t>FT9</t>
        </is>
      </c>
      <c r="B290" s="9" t="inlineStr">
        <is>
          <t>GPSE46</t>
        </is>
      </c>
      <c r="C290" s="9" t="inlineStr">
        <is>
          <t>SLEEPER - FULL</t>
        </is>
      </c>
      <c r="D290" s="9" t="inlineStr">
        <is>
          <t>Insert Card</t>
        </is>
      </c>
      <c r="E290" s="9" t="inlineStr">
        <is>
          <t>Color paper insert material</t>
        </is>
      </c>
      <c r="F290" s="9" t="inlineStr">
        <is>
          <t>Printed Insert quality -  INSERT (“U” Shape) - Insert Material: 250g-300g White Card Paper with Coating both side</t>
        </is>
      </c>
      <c r="G290" s="9" t="inlineStr"/>
      <c r="H290" s="9" t="inlineStr"/>
      <c r="I290" s="10" t="n">
        <v>1</v>
      </c>
      <c r="J290" s="14" t="n">
        <v>2</v>
      </c>
      <c r="K290" s="13">
        <f>IFERROR(I290*(1+IFERROR(J290,0)/100)*VLOOKUP(B290,'1. Articles (SKUs)'!E:N,10,FALSE),"")</f>
        <v/>
      </c>
      <c r="L290" s="14" t="inlineStr"/>
    </row>
    <row r="291">
      <c r="A291" s="11" t="inlineStr">
        <is>
          <t>FT9</t>
        </is>
      </c>
      <c r="B291" s="11" t="inlineStr">
        <is>
          <t>GPSE46</t>
        </is>
      </c>
      <c r="C291" s="11" t="inlineStr">
        <is>
          <t>SLEEPER - FULL</t>
        </is>
      </c>
      <c r="D291" s="11" t="inlineStr">
        <is>
          <t>Stiffener</t>
        </is>
      </c>
      <c r="E291" s="11" t="inlineStr">
        <is>
          <t>Cardboard material(Stiffener)</t>
        </is>
      </c>
      <c r="F291" s="11" t="inlineStr">
        <is>
          <t>Packaging inside need to put a “U”  1 ply thickness(1 layers with 1 layer corrugated ) in White Cardboard to maintain the shape before putting into the box</t>
        </is>
      </c>
      <c r="G291" s="11" t="inlineStr"/>
      <c r="H291" s="11" t="inlineStr"/>
      <c r="I291" s="10" t="n">
        <v>1</v>
      </c>
      <c r="J291" s="14" t="n">
        <v>2</v>
      </c>
      <c r="K291" s="13">
        <f>IFERROR(I291*(1+IFERROR(J291,0)/100)*VLOOKUP(B291,'1. Articles (SKUs)'!E:N,10,FALSE),"")</f>
        <v/>
      </c>
      <c r="L291" s="14" t="inlineStr"/>
    </row>
    <row r="292">
      <c r="A292" s="9" t="inlineStr">
        <is>
          <t>FT9</t>
        </is>
      </c>
      <c r="B292" s="9" t="inlineStr">
        <is>
          <t>GPSE50</t>
        </is>
      </c>
      <c r="C292" s="9" t="inlineStr">
        <is>
          <t>SLEEPER - QUEEN</t>
        </is>
      </c>
      <c r="D292" s="9" t="inlineStr">
        <is>
          <t>Label</t>
        </is>
      </c>
      <c r="E292" s="9" t="inlineStr">
        <is>
          <t>Non woven label with coating</t>
        </is>
      </c>
      <c r="F292" s="9" t="inlineStr">
        <is>
          <t>3M non woven material with white ground / black color font  (INK CANNOT DISCOLORATION AND STAIN ON PRODUCT)</t>
        </is>
      </c>
      <c r="G292" s="9" t="inlineStr">
        <is>
          <t>4.0cmX7.0cm</t>
        </is>
      </c>
      <c r="H292" s="9" t="inlineStr">
        <is>
          <t>Position of Law Tag label – Sewing at the middle of short side</t>
        </is>
      </c>
      <c r="I292" s="10" t="n">
        <v>1</v>
      </c>
      <c r="J292" s="14" t="n">
        <v>2</v>
      </c>
      <c r="K292" s="13">
        <f>IFERROR(I292*(1+IFERROR(J292,0)/100)*VLOOKUP(B292,'1. Articles (SKUs)'!E:N,10,FALSE),"")</f>
        <v/>
      </c>
      <c r="L292" s="14" t="inlineStr"/>
    </row>
    <row r="293">
      <c r="A293" s="11" t="inlineStr">
        <is>
          <t>FT9</t>
        </is>
      </c>
      <c r="B293" s="11" t="inlineStr">
        <is>
          <t>GPSE50</t>
        </is>
      </c>
      <c r="C293" s="11" t="inlineStr">
        <is>
          <t>SLEEPER - QUEEN</t>
        </is>
      </c>
      <c r="D293" s="11" t="inlineStr">
        <is>
          <t>Label</t>
        </is>
      </c>
      <c r="E293" s="11" t="inlineStr">
        <is>
          <t>Non woven label with coating</t>
        </is>
      </c>
      <c r="F293" s="11" t="inlineStr">
        <is>
          <t>3M non woven material with white ground / black color font  (INK CANNOT DISCOLORATION AND STAIN ON PRODUCT)</t>
        </is>
      </c>
      <c r="G293" s="11" t="inlineStr">
        <is>
          <t>4.0cmX3.0cm</t>
        </is>
      </c>
      <c r="H293" s="11" t="inlineStr">
        <is>
          <t>Next the law tag label</t>
        </is>
      </c>
      <c r="I293" s="10" t="n">
        <v>1</v>
      </c>
      <c r="J293" s="14" t="n">
        <v>2</v>
      </c>
      <c r="K293" s="13">
        <f>IFERROR(I293*(1+IFERROR(J293,0)/100)*VLOOKUP(B293,'1. Articles (SKUs)'!E:N,10,FALSE),"")</f>
        <v/>
      </c>
      <c r="L293" s="14" t="inlineStr"/>
    </row>
    <row r="294">
      <c r="A294" s="9" t="inlineStr">
        <is>
          <t>FT9</t>
        </is>
      </c>
      <c r="B294" s="9" t="inlineStr">
        <is>
          <t>GPSE50</t>
        </is>
      </c>
      <c r="C294" s="9" t="inlineStr">
        <is>
          <t>SLEEPER - QUEEN</t>
        </is>
      </c>
      <c r="D294" s="9" t="inlineStr">
        <is>
          <t>Packaging</t>
        </is>
      </c>
      <c r="E294" s="9" t="inlineStr">
        <is>
          <t>Packaging type</t>
        </is>
      </c>
      <c r="F294" s="9" t="inlineStr">
        <is>
          <t>Color paper insert with vinyl PVC Bag with white bound seam &amp; inside cardboard wrapped by product(Stiffener)</t>
        </is>
      </c>
      <c r="G294" s="9" t="inlineStr"/>
      <c r="H294" s="9" t="inlineStr"/>
      <c r="I294" s="10" t="n">
        <v>1</v>
      </c>
      <c r="J294" s="14" t="n">
        <v>2</v>
      </c>
      <c r="K294" s="13">
        <f>IFERROR(I294*(1+IFERROR(J294,0)/100)*VLOOKUP(B294,'1. Articles (SKUs)'!E:N,10,FALSE),"")</f>
        <v/>
      </c>
      <c r="L294" s="14" t="inlineStr"/>
    </row>
    <row r="295">
      <c r="A295" s="11" t="inlineStr">
        <is>
          <t>FT9</t>
        </is>
      </c>
      <c r="B295" s="11" t="inlineStr">
        <is>
          <t>GPSE50</t>
        </is>
      </c>
      <c r="C295" s="11" t="inlineStr">
        <is>
          <t>SLEEPER - QUEEN</t>
        </is>
      </c>
      <c r="D295" s="11" t="inlineStr">
        <is>
          <t>Polybag</t>
        </is>
      </c>
      <c r="E295" s="11" t="inlineStr">
        <is>
          <t>Bag material</t>
        </is>
      </c>
      <c r="F295" s="11" t="inlineStr">
        <is>
          <t>12S (Thickness)- Transparent PVC Bag with 7S(Thickness) White PVC White Binding all around seam and 3# Nylon Coil White Zipper(No Hanger Loop on top)</t>
        </is>
      </c>
      <c r="G295" s="11" t="inlineStr"/>
      <c r="H295" s="11" t="inlineStr"/>
      <c r="I295" s="10" t="n">
        <v>1</v>
      </c>
      <c r="J295" s="14" t="n">
        <v>2</v>
      </c>
      <c r="K295" s="13">
        <f>IFERROR(I295*(1+IFERROR(J295,0)/100)*VLOOKUP(B295,'1. Articles (SKUs)'!E:N,10,FALSE),"")</f>
        <v/>
      </c>
      <c r="L295" s="14" t="inlineStr"/>
    </row>
    <row r="296">
      <c r="A296" s="9" t="inlineStr">
        <is>
          <t>FT9</t>
        </is>
      </c>
      <c r="B296" s="9" t="inlineStr">
        <is>
          <t>GPSE50</t>
        </is>
      </c>
      <c r="C296" s="9" t="inlineStr">
        <is>
          <t>SLEEPER - QUEEN</t>
        </is>
      </c>
      <c r="D296" s="9" t="inlineStr">
        <is>
          <t>Insert Card</t>
        </is>
      </c>
      <c r="E296" s="9" t="inlineStr">
        <is>
          <t>Color paper insert material</t>
        </is>
      </c>
      <c r="F296" s="9" t="inlineStr">
        <is>
          <t>Printed Insert quality -  INSERT (“U” Shape) - Insert Material: 250g-300g White Card Paper with Coating both side</t>
        </is>
      </c>
      <c r="G296" s="9" t="inlineStr"/>
      <c r="H296" s="9" t="inlineStr"/>
      <c r="I296" s="10" t="n">
        <v>1</v>
      </c>
      <c r="J296" s="14" t="n">
        <v>2</v>
      </c>
      <c r="K296" s="13">
        <f>IFERROR(I296*(1+IFERROR(J296,0)/100)*VLOOKUP(B296,'1. Articles (SKUs)'!E:N,10,FALSE),"")</f>
        <v/>
      </c>
      <c r="L296" s="14" t="inlineStr"/>
    </row>
    <row r="297">
      <c r="A297" s="11" t="inlineStr">
        <is>
          <t>FT9</t>
        </is>
      </c>
      <c r="B297" s="11" t="inlineStr">
        <is>
          <t>GPSE50</t>
        </is>
      </c>
      <c r="C297" s="11" t="inlineStr">
        <is>
          <t>SLEEPER - QUEEN</t>
        </is>
      </c>
      <c r="D297" s="11" t="inlineStr">
        <is>
          <t>Stiffener</t>
        </is>
      </c>
      <c r="E297" s="11" t="inlineStr">
        <is>
          <t>Cardboard material(Stiffener)</t>
        </is>
      </c>
      <c r="F297" s="11" t="inlineStr">
        <is>
          <t>Packaging inside need to put a “U”  1 ply thickness(1 layers with 1 layer corrugated ) in White Cardboard to maintain the shape before putting into the box</t>
        </is>
      </c>
      <c r="G297" s="11" t="inlineStr"/>
      <c r="H297" s="11" t="inlineStr"/>
      <c r="I297" s="10" t="n">
        <v>1</v>
      </c>
      <c r="J297" s="14" t="n">
        <v>2</v>
      </c>
      <c r="K297" s="13">
        <f>IFERROR(I297*(1+IFERROR(J297,0)/100)*VLOOKUP(B297,'1. Articles (SKUs)'!E:N,10,FALSE),"")</f>
        <v/>
      </c>
      <c r="L297" s="14" t="inlineStr"/>
    </row>
  </sheetData>
  <pageMargins left="0.75" right="0.75" top="1" bottom="1" header="0.5" footer="0.5"/>
</worksheet>
</file>

<file path=xl/worksheets/sheet5.xml><?xml version="1.0" encoding="utf-8"?>
<worksheet xmlns="http://schemas.openxmlformats.org/spreadsheetml/2006/main">
  <sheetPr>
    <tabColor rgb="00F59E0B"/>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9" customWidth="1" min="4" max="4"/>
    <col width="16" customWidth="1" min="5" max="5"/>
    <col width="19" customWidth="1" min="6" max="6"/>
    <col width="18" customWidth="1" min="7" max="7"/>
    <col width="19" customWidth="1" min="8" max="8"/>
    <col width="14" customWidth="1" min="9" max="9"/>
    <col width="18" customWidth="1" min="10" max="10"/>
  </cols>
  <sheetData>
    <row r="1" ht="34" customHeight="1">
      <c r="A1" s="7" t="inlineStr">
        <is>
          <t>tech_pack_code</t>
        </is>
      </c>
      <c r="B1" s="7" t="inlineStr">
        <is>
          <t>size</t>
        </is>
      </c>
      <c r="C1" s="7" t="inlineStr">
        <is>
          <t>item_code</t>
        </is>
      </c>
      <c r="D1" s="7" t="inlineStr">
        <is>
          <t>units_per_carton</t>
        </is>
      </c>
      <c r="E1" s="7" t="inlineStr">
        <is>
          <t>carton_size_cm</t>
        </is>
      </c>
      <c r="F1" s="7" t="inlineStr">
        <is>
          <t>carton_length_cm</t>
        </is>
      </c>
      <c r="G1" s="7" t="inlineStr">
        <is>
          <t>carton_width_cm</t>
        </is>
      </c>
      <c r="H1" s="7" t="inlineStr">
        <is>
          <t>carton_height_cm</t>
        </is>
      </c>
      <c r="I1" s="7" t="inlineStr">
        <is>
          <t>cbm_per_carton</t>
        </is>
      </c>
      <c r="J1" s="12" t="inlineStr">
        <is>
          <t>weight_per_carton_kg</t>
        </is>
      </c>
    </row>
    <row r="2">
      <c r="A2" s="9" t="inlineStr">
        <is>
          <t>FT2</t>
        </is>
      </c>
      <c r="B2" s="9" t="inlineStr">
        <is>
          <t>TWIN</t>
        </is>
      </c>
      <c r="C2" s="9" t="inlineStr">
        <is>
          <t>GPFRIOMP33</t>
        </is>
      </c>
      <c r="D2" s="9" t="n">
        <v>10</v>
      </c>
      <c r="E2" s="9" t="inlineStr">
        <is>
          <t>56*29*27</t>
        </is>
      </c>
      <c r="F2" s="9" t="n">
        <v>56</v>
      </c>
      <c r="G2" s="9" t="n">
        <v>29</v>
      </c>
      <c r="H2" s="9" t="n">
        <v>27</v>
      </c>
      <c r="I2" s="9" t="n">
        <v>0.0438</v>
      </c>
      <c r="J2" s="14" t="inlineStr"/>
    </row>
    <row r="3">
      <c r="A3" s="11" t="inlineStr">
        <is>
          <t>FT2</t>
        </is>
      </c>
      <c r="B3" s="11" t="inlineStr">
        <is>
          <t>TWIN XL</t>
        </is>
      </c>
      <c r="C3" s="11" t="inlineStr">
        <is>
          <t>GPFRIOMP38</t>
        </is>
      </c>
      <c r="D3" s="11" t="n">
        <v>10</v>
      </c>
      <c r="E3" s="11" t="inlineStr">
        <is>
          <t>56*29*27</t>
        </is>
      </c>
      <c r="F3" s="11" t="n">
        <v>56</v>
      </c>
      <c r="G3" s="11" t="n">
        <v>29</v>
      </c>
      <c r="H3" s="11" t="n">
        <v>27</v>
      </c>
      <c r="I3" s="11" t="n">
        <v>0.0438</v>
      </c>
      <c r="J3" s="14" t="inlineStr"/>
    </row>
    <row r="4">
      <c r="A4" s="9" t="inlineStr">
        <is>
          <t>FT2</t>
        </is>
      </c>
      <c r="B4" s="9" t="inlineStr">
        <is>
          <t>FULL</t>
        </is>
      </c>
      <c r="C4" s="9" t="inlineStr">
        <is>
          <t>GPFRIOMP46</t>
        </is>
      </c>
      <c r="D4" s="9" t="n">
        <v>10</v>
      </c>
      <c r="E4" s="9" t="inlineStr">
        <is>
          <t>56*29*27</t>
        </is>
      </c>
      <c r="F4" s="9" t="n">
        <v>56</v>
      </c>
      <c r="G4" s="9" t="n">
        <v>29</v>
      </c>
      <c r="H4" s="9" t="n">
        <v>27</v>
      </c>
      <c r="I4" s="9" t="n">
        <v>0.0438</v>
      </c>
      <c r="J4" s="14" t="inlineStr"/>
    </row>
    <row r="5">
      <c r="A5" s="11" t="inlineStr">
        <is>
          <t>FT2</t>
        </is>
      </c>
      <c r="B5" s="11" t="inlineStr">
        <is>
          <t>FULL XL</t>
        </is>
      </c>
      <c r="C5" s="11" t="inlineStr">
        <is>
          <t>GPFRIOMP80</t>
        </is>
      </c>
      <c r="D5" s="11" t="n">
        <v>10</v>
      </c>
      <c r="E5" s="11" t="inlineStr">
        <is>
          <t>56*29*27</t>
        </is>
      </c>
      <c r="F5" s="11" t="n">
        <v>56</v>
      </c>
      <c r="G5" s="11" t="n">
        <v>29</v>
      </c>
      <c r="H5" s="11" t="n">
        <v>27</v>
      </c>
      <c r="I5" s="11" t="n">
        <v>0.0438</v>
      </c>
      <c r="J5" s="14" t="inlineStr"/>
    </row>
    <row r="6">
      <c r="A6" s="9" t="inlineStr">
        <is>
          <t>FT2</t>
        </is>
      </c>
      <c r="B6" s="9" t="inlineStr">
        <is>
          <t>QUEEN</t>
        </is>
      </c>
      <c r="C6" s="9" t="inlineStr">
        <is>
          <t>GPFRIOMP50</t>
        </is>
      </c>
      <c r="D6" s="9" t="n">
        <v>10</v>
      </c>
      <c r="E6" s="9" t="inlineStr">
        <is>
          <t>56*29*32</t>
        </is>
      </c>
      <c r="F6" s="9" t="n">
        <v>56</v>
      </c>
      <c r="G6" s="9" t="n">
        <v>29</v>
      </c>
      <c r="H6" s="9" t="n">
        <v>32</v>
      </c>
      <c r="I6" s="9" t="n">
        <v>0.052</v>
      </c>
      <c r="J6" s="14" t="inlineStr"/>
    </row>
    <row r="7">
      <c r="A7" s="11" t="inlineStr">
        <is>
          <t>FT2</t>
        </is>
      </c>
      <c r="B7" s="11" t="inlineStr">
        <is>
          <t>KING</t>
        </is>
      </c>
      <c r="C7" s="11" t="inlineStr">
        <is>
          <t>GPFRIOMP78</t>
        </is>
      </c>
      <c r="D7" s="11" t="n">
        <v>8</v>
      </c>
      <c r="E7" s="11" t="inlineStr">
        <is>
          <t>56*29*30</t>
        </is>
      </c>
      <c r="F7" s="11" t="n">
        <v>56</v>
      </c>
      <c r="G7" s="11" t="n">
        <v>29</v>
      </c>
      <c r="H7" s="11" t="n">
        <v>30</v>
      </c>
      <c r="I7" s="11" t="n">
        <v>0.0487</v>
      </c>
      <c r="J7" s="14" t="inlineStr"/>
    </row>
    <row r="8">
      <c r="A8" s="9" t="inlineStr">
        <is>
          <t>FT2</t>
        </is>
      </c>
      <c r="B8" s="9" t="inlineStr">
        <is>
          <t>CAL KING</t>
        </is>
      </c>
      <c r="C8" s="9" t="inlineStr">
        <is>
          <t>GPFRIOMP72</t>
        </is>
      </c>
      <c r="D8" s="9" t="n">
        <v>8</v>
      </c>
      <c r="E8" s="9" t="inlineStr">
        <is>
          <t>56*29*30</t>
        </is>
      </c>
      <c r="F8" s="9" t="n">
        <v>56</v>
      </c>
      <c r="G8" s="9" t="n">
        <v>29</v>
      </c>
      <c r="H8" s="9" t="n">
        <v>30</v>
      </c>
      <c r="I8" s="9" t="n">
        <v>0.0487</v>
      </c>
      <c r="J8" s="14" t="inlineStr"/>
    </row>
    <row r="9">
      <c r="A9" s="11" t="inlineStr">
        <is>
          <t>FT2</t>
        </is>
      </c>
      <c r="B9" s="11" t="inlineStr">
        <is>
          <t>SPLIT  CAL KING</t>
        </is>
      </c>
      <c r="C9" s="11" t="inlineStr">
        <is>
          <t>GPFRIOMP36</t>
        </is>
      </c>
      <c r="D9" s="11" t="inlineStr"/>
      <c r="E9" s="11" t="inlineStr"/>
      <c r="F9" s="11" t="n"/>
      <c r="G9" s="11" t="n"/>
      <c r="H9" s="11" t="n"/>
      <c r="I9" s="11" t="n"/>
      <c r="J9" s="14" t="inlineStr"/>
    </row>
    <row r="10">
      <c r="A10" s="9" t="inlineStr">
        <is>
          <t>FT2</t>
        </is>
      </c>
      <c r="B10" s="9" t="inlineStr">
        <is>
          <t>SPLIT HEAD QUEEN</t>
        </is>
      </c>
      <c r="C10" s="9" t="inlineStr">
        <is>
          <t>GPFRIOMP52</t>
        </is>
      </c>
      <c r="D10" s="9" t="n">
        <v>10</v>
      </c>
      <c r="E10" s="9" t="inlineStr">
        <is>
          <t>56*29*32</t>
        </is>
      </c>
      <c r="F10" s="9" t="n">
        <v>56</v>
      </c>
      <c r="G10" s="9" t="n">
        <v>29</v>
      </c>
      <c r="H10" s="9" t="n">
        <v>32</v>
      </c>
      <c r="I10" s="9" t="n">
        <v>0.052</v>
      </c>
      <c r="J10" s="14" t="inlineStr"/>
    </row>
    <row r="11">
      <c r="A11" s="11" t="inlineStr">
        <is>
          <t>FT2</t>
        </is>
      </c>
      <c r="B11" s="11" t="inlineStr">
        <is>
          <t>SPLIT HEAD KING</t>
        </is>
      </c>
      <c r="C11" s="11" t="inlineStr">
        <is>
          <t>GPFRIOMP79</t>
        </is>
      </c>
      <c r="D11" s="11" t="n">
        <v>8</v>
      </c>
      <c r="E11" s="11" t="inlineStr">
        <is>
          <t>56*29*30</t>
        </is>
      </c>
      <c r="F11" s="11" t="n">
        <v>56</v>
      </c>
      <c r="G11" s="11" t="n">
        <v>29</v>
      </c>
      <c r="H11" s="11" t="n">
        <v>30</v>
      </c>
      <c r="I11" s="11" t="n">
        <v>0.0487</v>
      </c>
      <c r="J11" s="14" t="inlineStr"/>
    </row>
    <row r="12">
      <c r="A12" s="9" t="inlineStr">
        <is>
          <t>FT2</t>
        </is>
      </c>
      <c r="B12" s="9" t="inlineStr">
        <is>
          <t>QUEEN PILLOW PROTECTOR</t>
        </is>
      </c>
      <c r="C12" s="9" t="inlineStr">
        <is>
          <t>GPFRIOPPQ</t>
        </is>
      </c>
      <c r="D12" s="9" t="inlineStr"/>
      <c r="E12" s="9" t="inlineStr"/>
      <c r="F12" s="9" t="n"/>
      <c r="G12" s="9" t="n"/>
      <c r="H12" s="9" t="n"/>
      <c r="I12" s="9" t="n"/>
      <c r="J12" s="14" t="inlineStr"/>
    </row>
    <row r="13">
      <c r="A13" s="11" t="inlineStr">
        <is>
          <t>FT2</t>
        </is>
      </c>
      <c r="B13" s="11" t="inlineStr">
        <is>
          <t>KING PILLOW PROTECTOR</t>
        </is>
      </c>
      <c r="C13" s="11" t="inlineStr">
        <is>
          <t>GPFRIOPPk</t>
        </is>
      </c>
      <c r="D13" s="11" t="inlineStr"/>
      <c r="E13" s="11" t="inlineStr"/>
      <c r="F13" s="11" t="n"/>
      <c r="G13" s="11" t="n"/>
      <c r="H13" s="11" t="n"/>
      <c r="I13" s="11" t="n"/>
      <c r="J13" s="14" t="inlineStr"/>
    </row>
    <row r="14">
      <c r="A14" s="9" t="inlineStr">
        <is>
          <t>FT4</t>
        </is>
      </c>
      <c r="B14" s="9" t="inlineStr">
        <is>
          <t>TWIN</t>
        </is>
      </c>
      <c r="C14" s="9" t="inlineStr">
        <is>
          <t>GPMP33</t>
        </is>
      </c>
      <c r="D14" s="9" t="inlineStr"/>
      <c r="E14" s="9" t="inlineStr"/>
      <c r="F14" s="9" t="n"/>
      <c r="G14" s="9" t="n"/>
      <c r="H14" s="9" t="n"/>
      <c r="I14" s="9" t="n"/>
      <c r="J14" s="14" t="inlineStr"/>
    </row>
    <row r="15">
      <c r="A15" s="11" t="inlineStr">
        <is>
          <t>FT4</t>
        </is>
      </c>
      <c r="B15" s="11" t="inlineStr">
        <is>
          <t>TWIN XL</t>
        </is>
      </c>
      <c r="C15" s="11" t="inlineStr">
        <is>
          <t>GPMP38</t>
        </is>
      </c>
      <c r="D15" s="11" t="inlineStr"/>
      <c r="E15" s="11" t="inlineStr"/>
      <c r="F15" s="11" t="n"/>
      <c r="G15" s="11" t="n"/>
      <c r="H15" s="11" t="n"/>
      <c r="I15" s="11" t="n"/>
      <c r="J15" s="14" t="inlineStr"/>
    </row>
    <row r="16">
      <c r="A16" s="9" t="inlineStr">
        <is>
          <t>FT4</t>
        </is>
      </c>
      <c r="B16" s="9" t="inlineStr">
        <is>
          <t>FULL</t>
        </is>
      </c>
      <c r="C16" s="9" t="inlineStr">
        <is>
          <t>GPMP46</t>
        </is>
      </c>
      <c r="D16" s="9" t="inlineStr"/>
      <c r="E16" s="9" t="inlineStr"/>
      <c r="F16" s="9" t="n"/>
      <c r="G16" s="9" t="n"/>
      <c r="H16" s="9" t="n"/>
      <c r="I16" s="9" t="n"/>
      <c r="J16" s="14" t="inlineStr"/>
    </row>
    <row r="17">
      <c r="A17" s="11" t="inlineStr">
        <is>
          <t>FT4</t>
        </is>
      </c>
      <c r="B17" s="11" t="inlineStr">
        <is>
          <t>FULL XL</t>
        </is>
      </c>
      <c r="C17" s="11" t="inlineStr">
        <is>
          <t>GPMP80</t>
        </is>
      </c>
      <c r="D17" s="11" t="inlineStr"/>
      <c r="E17" s="11" t="inlineStr"/>
      <c r="F17" s="11" t="n"/>
      <c r="G17" s="11" t="n"/>
      <c r="H17" s="11" t="n"/>
      <c r="I17" s="11" t="n"/>
      <c r="J17" s="14" t="inlineStr"/>
    </row>
    <row r="18">
      <c r="A18" s="9" t="inlineStr">
        <is>
          <t>FT4</t>
        </is>
      </c>
      <c r="B18" s="9" t="inlineStr">
        <is>
          <t>QUEEN</t>
        </is>
      </c>
      <c r="C18" s="9" t="inlineStr">
        <is>
          <t>GPMP50</t>
        </is>
      </c>
      <c r="D18" s="9" t="inlineStr"/>
      <c r="E18" s="9" t="inlineStr"/>
      <c r="F18" s="9" t="n"/>
      <c r="G18" s="9" t="n"/>
      <c r="H18" s="9" t="n"/>
      <c r="I18" s="9" t="n"/>
      <c r="J18" s="14" t="inlineStr"/>
    </row>
    <row r="19">
      <c r="A19" s="11" t="inlineStr">
        <is>
          <t>FT4</t>
        </is>
      </c>
      <c r="B19" s="11" t="inlineStr">
        <is>
          <t>KING</t>
        </is>
      </c>
      <c r="C19" s="11" t="inlineStr">
        <is>
          <t>GPMP78</t>
        </is>
      </c>
      <c r="D19" s="11" t="inlineStr"/>
      <c r="E19" s="11" t="inlineStr"/>
      <c r="F19" s="11" t="n"/>
      <c r="G19" s="11" t="n"/>
      <c r="H19" s="11" t="n"/>
      <c r="I19" s="11" t="n"/>
      <c r="J19" s="14" t="inlineStr"/>
    </row>
    <row r="20">
      <c r="A20" s="9" t="inlineStr">
        <is>
          <t>FT4</t>
        </is>
      </c>
      <c r="B20" s="9" t="inlineStr">
        <is>
          <t>CAL KING</t>
        </is>
      </c>
      <c r="C20" s="9" t="inlineStr">
        <is>
          <t>GPMP72</t>
        </is>
      </c>
      <c r="D20" s="9" t="inlineStr"/>
      <c r="E20" s="9" t="inlineStr"/>
      <c r="F20" s="9" t="n"/>
      <c r="G20" s="9" t="n"/>
      <c r="H20" s="9" t="n"/>
      <c r="I20" s="9" t="n"/>
      <c r="J20" s="14" t="inlineStr"/>
    </row>
    <row r="21">
      <c r="A21" s="11" t="inlineStr">
        <is>
          <t>FT4</t>
        </is>
      </c>
      <c r="B21" s="11" t="inlineStr">
        <is>
          <t>SPLIT CAL KING</t>
        </is>
      </c>
      <c r="C21" s="11" t="inlineStr">
        <is>
          <t>GPMP36</t>
        </is>
      </c>
      <c r="D21" s="11" t="inlineStr"/>
      <c r="E21" s="11" t="inlineStr"/>
      <c r="F21" s="11" t="n"/>
      <c r="G21" s="11" t="n"/>
      <c r="H21" s="11" t="n"/>
      <c r="I21" s="11" t="n"/>
      <c r="J21" s="14" t="inlineStr"/>
    </row>
    <row r="22">
      <c r="A22" s="9" t="inlineStr">
        <is>
          <t>FT4</t>
        </is>
      </c>
      <c r="B22" s="9" t="inlineStr">
        <is>
          <t>SPLIT HEAD QUEEN</t>
        </is>
      </c>
      <c r="C22" s="9" t="inlineStr">
        <is>
          <t>GPMP52</t>
        </is>
      </c>
      <c r="D22" s="9" t="inlineStr"/>
      <c r="E22" s="9" t="inlineStr"/>
      <c r="F22" s="9" t="n"/>
      <c r="G22" s="9" t="n"/>
      <c r="H22" s="9" t="n"/>
      <c r="I22" s="9" t="n"/>
      <c r="J22" s="14" t="inlineStr"/>
    </row>
    <row r="23">
      <c r="A23" s="11" t="inlineStr">
        <is>
          <t>FT4</t>
        </is>
      </c>
      <c r="B23" s="11" t="inlineStr">
        <is>
          <t>SPLIT HEAD KING</t>
        </is>
      </c>
      <c r="C23" s="11" t="inlineStr">
        <is>
          <t>GPMP79</t>
        </is>
      </c>
      <c r="D23" s="11" t="inlineStr"/>
      <c r="E23" s="11" t="inlineStr"/>
      <c r="F23" s="11" t="n"/>
      <c r="G23" s="11" t="n"/>
      <c r="H23" s="11" t="n"/>
      <c r="I23" s="11" t="n"/>
      <c r="J23" s="14" t="inlineStr"/>
    </row>
    <row r="24">
      <c r="A24" s="9" t="inlineStr">
        <is>
          <t>FT9</t>
        </is>
      </c>
      <c r="B24" s="9" t="inlineStr">
        <is>
          <t>TWIN</t>
        </is>
      </c>
      <c r="C24" s="9" t="inlineStr">
        <is>
          <t>GPTE33</t>
        </is>
      </c>
      <c r="D24" s="9" t="inlineStr"/>
      <c r="E24" s="9" t="inlineStr"/>
      <c r="F24" s="9" t="n"/>
      <c r="G24" s="9" t="n"/>
      <c r="H24" s="9" t="n"/>
      <c r="I24" s="9" t="n"/>
      <c r="J24" s="14" t="inlineStr"/>
    </row>
    <row r="25">
      <c r="A25" s="11" t="inlineStr">
        <is>
          <t>FT9</t>
        </is>
      </c>
      <c r="B25" s="11" t="inlineStr">
        <is>
          <t>TWIN XL</t>
        </is>
      </c>
      <c r="C25" s="11" t="inlineStr">
        <is>
          <t>GPTE38</t>
        </is>
      </c>
      <c r="D25" s="11" t="inlineStr"/>
      <c r="E25" s="11" t="inlineStr"/>
      <c r="F25" s="11" t="n"/>
      <c r="G25" s="11" t="n"/>
      <c r="H25" s="11" t="n"/>
      <c r="I25" s="11" t="n"/>
      <c r="J25" s="14" t="inlineStr"/>
    </row>
    <row r="26">
      <c r="A26" s="9" t="inlineStr">
        <is>
          <t>FT9</t>
        </is>
      </c>
      <c r="B26" s="9" t="inlineStr">
        <is>
          <t>FULL</t>
        </is>
      </c>
      <c r="C26" s="9" t="inlineStr">
        <is>
          <t>GPTE46</t>
        </is>
      </c>
      <c r="D26" s="9" t="inlineStr"/>
      <c r="E26" s="9" t="inlineStr"/>
      <c r="F26" s="9" t="n"/>
      <c r="G26" s="9" t="n"/>
      <c r="H26" s="9" t="n"/>
      <c r="I26" s="9" t="n"/>
      <c r="J26" s="14" t="inlineStr"/>
    </row>
    <row r="27">
      <c r="A27" s="11" t="inlineStr">
        <is>
          <t>FT9</t>
        </is>
      </c>
      <c r="B27" s="11" t="inlineStr">
        <is>
          <t>FULL XL</t>
        </is>
      </c>
      <c r="C27" s="11" t="inlineStr">
        <is>
          <t>GPTE80</t>
        </is>
      </c>
      <c r="D27" s="11" t="inlineStr"/>
      <c r="E27" s="11" t="inlineStr"/>
      <c r="F27" s="11" t="n"/>
      <c r="G27" s="11" t="n"/>
      <c r="H27" s="11" t="n"/>
      <c r="I27" s="11" t="n"/>
      <c r="J27" s="14" t="inlineStr"/>
    </row>
    <row r="28">
      <c r="A28" s="9" t="inlineStr">
        <is>
          <t>FT9</t>
        </is>
      </c>
      <c r="B28" s="9" t="inlineStr">
        <is>
          <t>QUEEN</t>
        </is>
      </c>
      <c r="C28" s="9" t="inlineStr">
        <is>
          <t>GPTE50</t>
        </is>
      </c>
      <c r="D28" s="9" t="inlineStr"/>
      <c r="E28" s="9" t="inlineStr"/>
      <c r="F28" s="9" t="n"/>
      <c r="G28" s="9" t="n"/>
      <c r="H28" s="9" t="n"/>
      <c r="I28" s="9" t="n"/>
      <c r="J28" s="14" t="inlineStr"/>
    </row>
    <row r="29">
      <c r="A29" s="11" t="inlineStr">
        <is>
          <t>FT9</t>
        </is>
      </c>
      <c r="B29" s="11" t="inlineStr">
        <is>
          <t>KING</t>
        </is>
      </c>
      <c r="C29" s="11" t="inlineStr">
        <is>
          <t>GPTE78</t>
        </is>
      </c>
      <c r="D29" s="11" t="inlineStr"/>
      <c r="E29" s="11" t="inlineStr"/>
      <c r="F29" s="11" t="n"/>
      <c r="G29" s="11" t="n"/>
      <c r="H29" s="11" t="n"/>
      <c r="I29" s="11" t="n"/>
      <c r="J29" s="14" t="inlineStr"/>
    </row>
    <row r="30">
      <c r="A30" s="9" t="inlineStr">
        <is>
          <t>FT9</t>
        </is>
      </c>
      <c r="B30" s="9" t="inlineStr">
        <is>
          <t>CAL KING</t>
        </is>
      </c>
      <c r="C30" s="9" t="inlineStr">
        <is>
          <t>GPTE72</t>
        </is>
      </c>
      <c r="D30" s="9" t="inlineStr"/>
      <c r="E30" s="9" t="inlineStr"/>
      <c r="F30" s="9" t="n"/>
      <c r="G30" s="9" t="n"/>
      <c r="H30" s="9" t="n"/>
      <c r="I30" s="9" t="n"/>
      <c r="J30" s="14" t="inlineStr"/>
    </row>
    <row r="31">
      <c r="A31" s="11" t="inlineStr">
        <is>
          <t>FT9</t>
        </is>
      </c>
      <c r="B31" s="11" t="inlineStr">
        <is>
          <t>SP CAL KING</t>
        </is>
      </c>
      <c r="C31" s="11" t="inlineStr">
        <is>
          <t>GPTE36</t>
        </is>
      </c>
      <c r="D31" s="11" t="inlineStr"/>
      <c r="E31" s="11" t="inlineStr"/>
      <c r="F31" s="11" t="n"/>
      <c r="G31" s="11" t="n"/>
      <c r="H31" s="11" t="n"/>
      <c r="I31" s="11" t="n"/>
      <c r="J31" s="14" t="inlineStr"/>
    </row>
    <row r="32">
      <c r="A32" s="9" t="inlineStr">
        <is>
          <t>FT9</t>
        </is>
      </c>
      <c r="B32" s="9" t="inlineStr">
        <is>
          <t>SPLIT HEAD QUEEN</t>
        </is>
      </c>
      <c r="C32" s="9" t="inlineStr">
        <is>
          <t>GPTE52</t>
        </is>
      </c>
      <c r="D32" s="9" t="n">
        <v>10</v>
      </c>
      <c r="E32" s="9" t="inlineStr">
        <is>
          <t>58*28.5*49</t>
        </is>
      </c>
      <c r="F32" s="9" t="n">
        <v>58</v>
      </c>
      <c r="G32" s="9" t="n">
        <v>28.5</v>
      </c>
      <c r="H32" s="9" t="n">
        <v>49</v>
      </c>
      <c r="I32" s="9" t="n">
        <v>0.081</v>
      </c>
      <c r="J32" s="14" t="inlineStr"/>
    </row>
    <row r="33">
      <c r="A33" s="11" t="inlineStr">
        <is>
          <t>FT9</t>
        </is>
      </c>
      <c r="B33" s="11" t="inlineStr">
        <is>
          <t>SPLIT HEAD KING</t>
        </is>
      </c>
      <c r="C33" s="11" t="inlineStr">
        <is>
          <t>GPTE79</t>
        </is>
      </c>
      <c r="D33" s="11" t="n">
        <v>8</v>
      </c>
      <c r="E33" s="11" t="inlineStr">
        <is>
          <t>58*28.5*43</t>
        </is>
      </c>
      <c r="F33" s="11" t="n">
        <v>58</v>
      </c>
      <c r="G33" s="11" t="n">
        <v>28.5</v>
      </c>
      <c r="H33" s="11" t="n">
        <v>43</v>
      </c>
      <c r="I33" s="11" t="n">
        <v>0.0711</v>
      </c>
      <c r="J33" s="14" t="inlineStr"/>
    </row>
    <row r="34">
      <c r="A34" s="9" t="inlineStr">
        <is>
          <t>FT9</t>
        </is>
      </c>
      <c r="B34" s="9" t="inlineStr">
        <is>
          <t>SLEEPER - TWIN</t>
        </is>
      </c>
      <c r="C34" s="9" t="inlineStr">
        <is>
          <t>GPSE33</t>
        </is>
      </c>
      <c r="D34" s="9" t="inlineStr"/>
      <c r="E34" s="9" t="inlineStr"/>
      <c r="F34" s="9" t="n"/>
      <c r="G34" s="9" t="n"/>
      <c r="H34" s="9" t="n"/>
      <c r="I34" s="9" t="n"/>
      <c r="J34" s="14" t="inlineStr"/>
    </row>
    <row r="35">
      <c r="A35" s="11" t="inlineStr">
        <is>
          <t>FT9</t>
        </is>
      </c>
      <c r="B35" s="11" t="inlineStr">
        <is>
          <t>SLEEPER - FULL</t>
        </is>
      </c>
      <c r="C35" s="11" t="inlineStr">
        <is>
          <t>GPSE46</t>
        </is>
      </c>
      <c r="D35" s="11" t="inlineStr"/>
      <c r="E35" s="11" t="inlineStr"/>
      <c r="F35" s="11" t="n"/>
      <c r="G35" s="11" t="n"/>
      <c r="H35" s="11" t="n"/>
      <c r="I35" s="11" t="n"/>
      <c r="J35" s="14" t="inlineStr"/>
    </row>
    <row r="36">
      <c r="A36" s="9" t="inlineStr">
        <is>
          <t>FT9</t>
        </is>
      </c>
      <c r="B36" s="9" t="inlineStr">
        <is>
          <t>SLEEPER - QUEEN</t>
        </is>
      </c>
      <c r="C36" s="9" t="inlineStr">
        <is>
          <t>GPSE50</t>
        </is>
      </c>
      <c r="D36" s="9" t="inlineStr"/>
      <c r="E36" s="9" t="inlineStr"/>
      <c r="F36" s="9" t="n"/>
      <c r="G36" s="9" t="n"/>
      <c r="H36" s="9" t="n"/>
      <c r="I36" s="9" t="n"/>
      <c r="J36" s="14" t="inlineStr"/>
    </row>
  </sheetData>
  <pageMargins left="0.75" right="0.75" top="1" bottom="1" header="0.5" footer="0.5"/>
</worksheet>
</file>

<file path=xl/worksheets/sheet6.xml><?xml version="1.0" encoding="utf-8"?>
<worksheet xmlns="http://schemas.openxmlformats.org/spreadsheetml/2006/main">
  <sheetPr>
    <tabColor rgb="008B5CF6"/>
    <outlinePr summaryBelow="1" summaryRight="1"/>
    <pageSetUpPr/>
  </sheetPr>
  <dimension ref="A1:N36"/>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2" customWidth="1" min="3" max="3"/>
    <col width="12" customWidth="1" min="4" max="4"/>
    <col width="20" customWidth="1" min="5" max="5"/>
    <col width="19" customWidth="1" min="6" max="6"/>
    <col width="18" customWidth="1" min="7" max="7"/>
    <col width="19" customWidth="1" min="8" max="8"/>
    <col width="17" customWidth="1" min="9" max="9"/>
    <col width="40" customWidth="1" min="10" max="10"/>
    <col width="12" customWidth="1" min="11" max="11"/>
    <col width="12" customWidth="1" min="12" max="12"/>
    <col width="17" customWidth="1" min="13" max="13"/>
    <col width="15" customWidth="1" min="14" max="14"/>
  </cols>
  <sheetData>
    <row r="1" ht="34" customHeight="1">
      <c r="A1" s="7" t="inlineStr">
        <is>
          <t>item_code</t>
        </is>
      </c>
      <c r="B1" s="7" t="inlineStr">
        <is>
          <t>item_description</t>
        </is>
      </c>
      <c r="C1" s="8" t="inlineStr">
        <is>
          <t>price_usd</t>
        </is>
      </c>
      <c r="D1" s="7" t="inlineStr">
        <is>
          <t>currency</t>
        </is>
      </c>
      <c r="E1" s="7" t="inlineStr">
        <is>
          <t>pieces_per_carton</t>
        </is>
      </c>
      <c r="F1" s="7" t="inlineStr">
        <is>
          <t>carton_length_cm</t>
        </is>
      </c>
      <c r="G1" s="7" t="inlineStr">
        <is>
          <t>carton_width_cm</t>
        </is>
      </c>
      <c r="H1" s="7" t="inlineStr">
        <is>
          <t>carton_height_cm</t>
        </is>
      </c>
      <c r="I1" s="7" t="inlineStr">
        <is>
          <t>cbm_per_carton</t>
        </is>
      </c>
      <c r="J1" s="7" t="inlineStr">
        <is>
          <t>fabric_type</t>
        </is>
      </c>
      <c r="K1" s="7" t="inlineStr">
        <is>
          <t>gsm</t>
        </is>
      </c>
      <c r="L1" s="12" t="inlineStr">
        <is>
          <t>width_cm</t>
        </is>
      </c>
      <c r="M1" s="12" t="inlineStr">
        <is>
          <t>effective_from</t>
        </is>
      </c>
      <c r="N1" s="12" t="inlineStr">
        <is>
          <t>effective_to</t>
        </is>
      </c>
    </row>
    <row r="2">
      <c r="A2" s="9" t="inlineStr">
        <is>
          <t>GPFRIOMP33</t>
        </is>
      </c>
      <c r="B2" s="9" t="inlineStr">
        <is>
          <t>Cooling Waterproof mattress protector — TWIN White</t>
        </is>
      </c>
      <c r="C2" s="10" t="inlineStr"/>
      <c r="D2" s="9" t="inlineStr">
        <is>
          <t>USD</t>
        </is>
      </c>
      <c r="E2" s="9" t="n">
        <v>10</v>
      </c>
      <c r="F2" s="9" t="n">
        <v>56</v>
      </c>
      <c r="G2" s="9" t="n">
        <v>29</v>
      </c>
      <c r="H2" s="9" t="n">
        <v>27</v>
      </c>
      <c r="I2" s="9" t="n">
        <v>0.0438</v>
      </c>
      <c r="J2" s="9" t="inlineStr">
        <is>
          <t>140gsm - 100% Nylon mica fiber jersey knitted fabric</t>
        </is>
      </c>
      <c r="K2" s="9" t="n">
        <v>140</v>
      </c>
      <c r="L2" s="14" t="inlineStr"/>
      <c r="M2" s="14" t="inlineStr"/>
      <c r="N2" s="14" t="inlineStr"/>
    </row>
    <row r="3">
      <c r="A3" s="11" t="inlineStr">
        <is>
          <t>GPFRIOMP38</t>
        </is>
      </c>
      <c r="B3" s="11" t="inlineStr">
        <is>
          <t>Cooling Waterproof mattress protector — TWIN XL White</t>
        </is>
      </c>
      <c r="C3" s="10" t="inlineStr"/>
      <c r="D3" s="11" t="inlineStr">
        <is>
          <t>USD</t>
        </is>
      </c>
      <c r="E3" s="11" t="n">
        <v>10</v>
      </c>
      <c r="F3" s="11" t="n">
        <v>56</v>
      </c>
      <c r="G3" s="11" t="n">
        <v>29</v>
      </c>
      <c r="H3" s="11" t="n">
        <v>27</v>
      </c>
      <c r="I3" s="11" t="n">
        <v>0.0438</v>
      </c>
      <c r="J3" s="11" t="inlineStr">
        <is>
          <t>140gsm - 100% Nylon mica fiber jersey knitted fabric</t>
        </is>
      </c>
      <c r="K3" s="11" t="n">
        <v>140</v>
      </c>
      <c r="L3" s="14" t="inlineStr"/>
      <c r="M3" s="14" t="inlineStr"/>
      <c r="N3" s="14" t="inlineStr"/>
    </row>
    <row r="4">
      <c r="A4" s="9" t="inlineStr">
        <is>
          <t>GPFRIOMP46</t>
        </is>
      </c>
      <c r="B4" s="9" t="inlineStr">
        <is>
          <t>Cooling Waterproof mattress protector — FULL White</t>
        </is>
      </c>
      <c r="C4" s="10" t="inlineStr"/>
      <c r="D4" s="9" t="inlineStr">
        <is>
          <t>USD</t>
        </is>
      </c>
      <c r="E4" s="9" t="n">
        <v>10</v>
      </c>
      <c r="F4" s="9" t="n">
        <v>56</v>
      </c>
      <c r="G4" s="9" t="n">
        <v>29</v>
      </c>
      <c r="H4" s="9" t="n">
        <v>27</v>
      </c>
      <c r="I4" s="9" t="n">
        <v>0.0438</v>
      </c>
      <c r="J4" s="9" t="inlineStr">
        <is>
          <t>140gsm - 100% Nylon mica fiber jersey knitted fabric</t>
        </is>
      </c>
      <c r="K4" s="9" t="n">
        <v>140</v>
      </c>
      <c r="L4" s="14" t="inlineStr"/>
      <c r="M4" s="14" t="inlineStr"/>
      <c r="N4" s="14" t="inlineStr"/>
    </row>
    <row r="5">
      <c r="A5" s="11" t="inlineStr">
        <is>
          <t>GPFRIOMP80</t>
        </is>
      </c>
      <c r="B5" s="11" t="inlineStr">
        <is>
          <t>Cooling Waterproof mattress protector — FULL XL White</t>
        </is>
      </c>
      <c r="C5" s="10" t="inlineStr"/>
      <c r="D5" s="11" t="inlineStr">
        <is>
          <t>USD</t>
        </is>
      </c>
      <c r="E5" s="11" t="n">
        <v>10</v>
      </c>
      <c r="F5" s="11" t="n">
        <v>56</v>
      </c>
      <c r="G5" s="11" t="n">
        <v>29</v>
      </c>
      <c r="H5" s="11" t="n">
        <v>27</v>
      </c>
      <c r="I5" s="11" t="n">
        <v>0.0438</v>
      </c>
      <c r="J5" s="11" t="inlineStr">
        <is>
          <t>140gsm - 100% Nylon mica fiber jersey knitted fabric</t>
        </is>
      </c>
      <c r="K5" s="11" t="n">
        <v>140</v>
      </c>
      <c r="L5" s="14" t="inlineStr"/>
      <c r="M5" s="14" t="inlineStr"/>
      <c r="N5" s="14" t="inlineStr"/>
    </row>
    <row r="6">
      <c r="A6" s="9" t="inlineStr">
        <is>
          <t>GPFRIOMP50</t>
        </is>
      </c>
      <c r="B6" s="9" t="inlineStr">
        <is>
          <t>Cooling Waterproof mattress protector — QUEEN White</t>
        </is>
      </c>
      <c r="C6" s="10" t="inlineStr"/>
      <c r="D6" s="9" t="inlineStr">
        <is>
          <t>USD</t>
        </is>
      </c>
      <c r="E6" s="9" t="n">
        <v>10</v>
      </c>
      <c r="F6" s="9" t="n">
        <v>56</v>
      </c>
      <c r="G6" s="9" t="n">
        <v>29</v>
      </c>
      <c r="H6" s="9" t="n">
        <v>32</v>
      </c>
      <c r="I6" s="9" t="n">
        <v>0.052</v>
      </c>
      <c r="J6" s="9" t="inlineStr">
        <is>
          <t>140gsm - 100% Nylon mica fiber jersey knitted fabric</t>
        </is>
      </c>
      <c r="K6" s="9" t="n">
        <v>140</v>
      </c>
      <c r="L6" s="14" t="inlineStr"/>
      <c r="M6" s="14" t="inlineStr"/>
      <c r="N6" s="14" t="inlineStr"/>
    </row>
    <row r="7">
      <c r="A7" s="11" t="inlineStr">
        <is>
          <t>GPFRIOMP78</t>
        </is>
      </c>
      <c r="B7" s="11" t="inlineStr">
        <is>
          <t>Cooling Waterproof mattress protector — KING White</t>
        </is>
      </c>
      <c r="C7" s="10" t="inlineStr"/>
      <c r="D7" s="11" t="inlineStr">
        <is>
          <t>USD</t>
        </is>
      </c>
      <c r="E7" s="11" t="n">
        <v>8</v>
      </c>
      <c r="F7" s="11" t="n">
        <v>56</v>
      </c>
      <c r="G7" s="11" t="n">
        <v>29</v>
      </c>
      <c r="H7" s="11" t="n">
        <v>30</v>
      </c>
      <c r="I7" s="11" t="n">
        <v>0.0487</v>
      </c>
      <c r="J7" s="11" t="inlineStr">
        <is>
          <t>140gsm - 100% Nylon mica fiber jersey knitted fabric</t>
        </is>
      </c>
      <c r="K7" s="11" t="n">
        <v>140</v>
      </c>
      <c r="L7" s="14" t="inlineStr"/>
      <c r="M7" s="14" t="inlineStr"/>
      <c r="N7" s="14" t="inlineStr"/>
    </row>
    <row r="8">
      <c r="A8" s="9" t="inlineStr">
        <is>
          <t>GPFRIOMP72</t>
        </is>
      </c>
      <c r="B8" s="9" t="inlineStr">
        <is>
          <t>Cooling Waterproof mattress protector — CAL KING White</t>
        </is>
      </c>
      <c r="C8" s="10" t="inlineStr"/>
      <c r="D8" s="9" t="inlineStr">
        <is>
          <t>USD</t>
        </is>
      </c>
      <c r="E8" s="9" t="n">
        <v>8</v>
      </c>
      <c r="F8" s="9" t="n">
        <v>56</v>
      </c>
      <c r="G8" s="9" t="n">
        <v>29</v>
      </c>
      <c r="H8" s="9" t="n">
        <v>30</v>
      </c>
      <c r="I8" s="9" t="n">
        <v>0.0487</v>
      </c>
      <c r="J8" s="9" t="inlineStr">
        <is>
          <t>140gsm - 100% Nylon mica fiber jersey knitted fabric</t>
        </is>
      </c>
      <c r="K8" s="9" t="n">
        <v>140</v>
      </c>
      <c r="L8" s="14" t="inlineStr"/>
      <c r="M8" s="14" t="inlineStr"/>
      <c r="N8" s="14" t="inlineStr"/>
    </row>
    <row r="9">
      <c r="A9" s="11" t="inlineStr">
        <is>
          <t>GPFRIOMP36</t>
        </is>
      </c>
      <c r="B9" s="11" t="inlineStr">
        <is>
          <t>Cooling Waterproof mattress protector — SPLIT  CAL KING White</t>
        </is>
      </c>
      <c r="C9" s="10" t="inlineStr"/>
      <c r="D9" s="11" t="inlineStr">
        <is>
          <t>USD</t>
        </is>
      </c>
      <c r="E9" s="11" t="inlineStr"/>
      <c r="F9" s="11" t="n"/>
      <c r="G9" s="11" t="n"/>
      <c r="H9" s="11" t="n"/>
      <c r="I9" s="11" t="n"/>
      <c r="J9" s="11" t="inlineStr">
        <is>
          <t>140gsm - 100% Nylon mica fiber jersey knitted fabric</t>
        </is>
      </c>
      <c r="K9" s="11" t="n">
        <v>140</v>
      </c>
      <c r="L9" s="14" t="inlineStr"/>
      <c r="M9" s="14" t="inlineStr"/>
      <c r="N9" s="14" t="inlineStr"/>
    </row>
    <row r="10">
      <c r="A10" s="9" t="inlineStr">
        <is>
          <t>GPFRIOMP52</t>
        </is>
      </c>
      <c r="B10" s="9" t="inlineStr">
        <is>
          <t>Cooling Waterproof mattress protector — SPLIT HEAD QUEEN White</t>
        </is>
      </c>
      <c r="C10" s="10" t="inlineStr"/>
      <c r="D10" s="9" t="inlineStr">
        <is>
          <t>USD</t>
        </is>
      </c>
      <c r="E10" s="9" t="n">
        <v>10</v>
      </c>
      <c r="F10" s="9" t="n">
        <v>56</v>
      </c>
      <c r="G10" s="9" t="n">
        <v>29</v>
      </c>
      <c r="H10" s="9" t="n">
        <v>32</v>
      </c>
      <c r="I10" s="9" t="n">
        <v>0.052</v>
      </c>
      <c r="J10" s="9" t="inlineStr">
        <is>
          <t>140gsm - 100% Nylon mica fiber jersey knitted fabric</t>
        </is>
      </c>
      <c r="K10" s="9" t="n">
        <v>140</v>
      </c>
      <c r="L10" s="14" t="inlineStr"/>
      <c r="M10" s="14" t="inlineStr"/>
      <c r="N10" s="14" t="inlineStr"/>
    </row>
    <row r="11">
      <c r="A11" s="11" t="inlineStr">
        <is>
          <t>GPFRIOMP79</t>
        </is>
      </c>
      <c r="B11" s="11" t="inlineStr">
        <is>
          <t>Cooling Waterproof mattress protector — SPLIT HEAD KING White</t>
        </is>
      </c>
      <c r="C11" s="10" t="inlineStr"/>
      <c r="D11" s="11" t="inlineStr">
        <is>
          <t>USD</t>
        </is>
      </c>
      <c r="E11" s="11" t="n">
        <v>8</v>
      </c>
      <c r="F11" s="11" t="n">
        <v>56</v>
      </c>
      <c r="G11" s="11" t="n">
        <v>29</v>
      </c>
      <c r="H11" s="11" t="n">
        <v>30</v>
      </c>
      <c r="I11" s="11" t="n">
        <v>0.0487</v>
      </c>
      <c r="J11" s="11" t="inlineStr">
        <is>
          <t>140gsm - 100% Nylon mica fiber jersey knitted fabric</t>
        </is>
      </c>
      <c r="K11" s="11" t="n">
        <v>140</v>
      </c>
      <c r="L11" s="14" t="inlineStr"/>
      <c r="M11" s="14" t="inlineStr"/>
      <c r="N11" s="14" t="inlineStr"/>
    </row>
    <row r="12">
      <c r="A12" s="9" t="inlineStr">
        <is>
          <t>GPFRIOPPQ</t>
        </is>
      </c>
      <c r="B12" s="9" t="inlineStr">
        <is>
          <t>Cooling Waterproof mattress protector — QUEEN PILLOW PROTECTOR White</t>
        </is>
      </c>
      <c r="C12" s="10" t="inlineStr"/>
      <c r="D12" s="9" t="inlineStr">
        <is>
          <t>USD</t>
        </is>
      </c>
      <c r="E12" s="9" t="inlineStr"/>
      <c r="F12" s="9" t="n"/>
      <c r="G12" s="9" t="n"/>
      <c r="H12" s="9" t="n"/>
      <c r="I12" s="9" t="n"/>
      <c r="J12" s="9" t="inlineStr">
        <is>
          <t>140gsm - 100% Nylon mica fiber jersey knitted fabric</t>
        </is>
      </c>
      <c r="K12" s="9" t="n">
        <v>140</v>
      </c>
      <c r="L12" s="14" t="inlineStr"/>
      <c r="M12" s="14" t="inlineStr"/>
      <c r="N12" s="14" t="inlineStr"/>
    </row>
    <row r="13">
      <c r="A13" s="11" t="inlineStr">
        <is>
          <t>GPFRIOPPk</t>
        </is>
      </c>
      <c r="B13" s="11" t="inlineStr">
        <is>
          <t>Cooling Waterproof mattress protector — KING PILLOW PROTECTOR White</t>
        </is>
      </c>
      <c r="C13" s="10" t="inlineStr"/>
      <c r="D13" s="11" t="inlineStr">
        <is>
          <t>USD</t>
        </is>
      </c>
      <c r="E13" s="11" t="inlineStr"/>
      <c r="F13" s="11" t="n"/>
      <c r="G13" s="11" t="n"/>
      <c r="H13" s="11" t="n"/>
      <c r="I13" s="11" t="n"/>
      <c r="J13" s="11" t="inlineStr">
        <is>
          <t>140gsm - 100% Nylon mica fiber jersey knitted fabric</t>
        </is>
      </c>
      <c r="K13" s="11" t="n">
        <v>140</v>
      </c>
      <c r="L13" s="14" t="inlineStr"/>
      <c r="M13" s="14" t="inlineStr"/>
      <c r="N13" s="14" t="inlineStr"/>
    </row>
    <row r="14">
      <c r="A14" s="9" t="inlineStr">
        <is>
          <t>GPMP33</t>
        </is>
      </c>
      <c r="B14" s="9" t="inlineStr">
        <is>
          <t>Poly terry Waterproof mattress protector — TWIN White</t>
        </is>
      </c>
      <c r="C14" s="10" t="inlineStr"/>
      <c r="D14" s="9" t="inlineStr">
        <is>
          <t>USD</t>
        </is>
      </c>
      <c r="E14" s="9" t="inlineStr"/>
      <c r="F14" s="9" t="n"/>
      <c r="G14" s="9" t="n"/>
      <c r="H14" s="9" t="n"/>
      <c r="I14" s="9" t="n"/>
      <c r="J14" s="9" t="inlineStr">
        <is>
          <t>110gsm - 100% Polyester terry knitted fabric with 0.02mm TPUwhite coating</t>
        </is>
      </c>
      <c r="K14" s="9" t="n">
        <v>110</v>
      </c>
      <c r="L14" s="14" t="inlineStr"/>
      <c r="M14" s="14" t="inlineStr"/>
      <c r="N14" s="14" t="inlineStr"/>
    </row>
    <row r="15">
      <c r="A15" s="11" t="inlineStr">
        <is>
          <t>GPMP38</t>
        </is>
      </c>
      <c r="B15" s="11" t="inlineStr">
        <is>
          <t>Poly terry Waterproof mattress protector — TWIN XL White</t>
        </is>
      </c>
      <c r="C15" s="10" t="inlineStr"/>
      <c r="D15" s="11" t="inlineStr">
        <is>
          <t>USD</t>
        </is>
      </c>
      <c r="E15" s="11" t="inlineStr"/>
      <c r="F15" s="11" t="n"/>
      <c r="G15" s="11" t="n"/>
      <c r="H15" s="11" t="n"/>
      <c r="I15" s="11" t="n"/>
      <c r="J15" s="11" t="inlineStr">
        <is>
          <t>110gsm - 100% Polyester terry knitted fabric with 0.02mm TPUwhite coating</t>
        </is>
      </c>
      <c r="K15" s="11" t="n">
        <v>110</v>
      </c>
      <c r="L15" s="14" t="inlineStr"/>
      <c r="M15" s="14" t="inlineStr"/>
      <c r="N15" s="14" t="inlineStr"/>
    </row>
    <row r="16">
      <c r="A16" s="9" t="inlineStr">
        <is>
          <t>GPMP46</t>
        </is>
      </c>
      <c r="B16" s="9" t="inlineStr">
        <is>
          <t>Poly terry Waterproof mattress protector — FULL White</t>
        </is>
      </c>
      <c r="C16" s="10" t="inlineStr"/>
      <c r="D16" s="9" t="inlineStr">
        <is>
          <t>USD</t>
        </is>
      </c>
      <c r="E16" s="9" t="inlineStr"/>
      <c r="F16" s="9" t="n"/>
      <c r="G16" s="9" t="n"/>
      <c r="H16" s="9" t="n"/>
      <c r="I16" s="9" t="n"/>
      <c r="J16" s="9" t="inlineStr">
        <is>
          <t>110gsm - 100% Polyester terry knitted fabric with 0.02mm TPUwhite coating</t>
        </is>
      </c>
      <c r="K16" s="9" t="n">
        <v>110</v>
      </c>
      <c r="L16" s="14" t="inlineStr"/>
      <c r="M16" s="14" t="inlineStr"/>
      <c r="N16" s="14" t="inlineStr"/>
    </row>
    <row r="17">
      <c r="A17" s="11" t="inlineStr">
        <is>
          <t>GPMP80</t>
        </is>
      </c>
      <c r="B17" s="11" t="inlineStr">
        <is>
          <t>Poly terry Waterproof mattress protector — FULL XL White</t>
        </is>
      </c>
      <c r="C17" s="10" t="inlineStr"/>
      <c r="D17" s="11" t="inlineStr">
        <is>
          <t>USD</t>
        </is>
      </c>
      <c r="E17" s="11" t="inlineStr"/>
      <c r="F17" s="11" t="n"/>
      <c r="G17" s="11" t="n"/>
      <c r="H17" s="11" t="n"/>
      <c r="I17" s="11" t="n"/>
      <c r="J17" s="11" t="inlineStr">
        <is>
          <t>110gsm - 100% Polyester terry knitted fabric with 0.02mm TPUwhite coating</t>
        </is>
      </c>
      <c r="K17" s="11" t="n">
        <v>110</v>
      </c>
      <c r="L17" s="14" t="inlineStr"/>
      <c r="M17" s="14" t="inlineStr"/>
      <c r="N17" s="14" t="inlineStr"/>
    </row>
    <row r="18">
      <c r="A18" s="9" t="inlineStr">
        <is>
          <t>GPMP50</t>
        </is>
      </c>
      <c r="B18" s="9" t="inlineStr">
        <is>
          <t>Poly terry Waterproof mattress protector — QUEEN White</t>
        </is>
      </c>
      <c r="C18" s="10" t="inlineStr"/>
      <c r="D18" s="9" t="inlineStr">
        <is>
          <t>USD</t>
        </is>
      </c>
      <c r="E18" s="9" t="inlineStr"/>
      <c r="F18" s="9" t="n"/>
      <c r="G18" s="9" t="n"/>
      <c r="H18" s="9" t="n"/>
      <c r="I18" s="9" t="n"/>
      <c r="J18" s="9" t="inlineStr">
        <is>
          <t>110gsm - 100% Polyester terry knitted fabric with 0.02mm TPUwhite coating</t>
        </is>
      </c>
      <c r="K18" s="9" t="n">
        <v>110</v>
      </c>
      <c r="L18" s="14" t="inlineStr"/>
      <c r="M18" s="14" t="inlineStr"/>
      <c r="N18" s="14" t="inlineStr"/>
    </row>
    <row r="19">
      <c r="A19" s="11" t="inlineStr">
        <is>
          <t>GPMP78</t>
        </is>
      </c>
      <c r="B19" s="11" t="inlineStr">
        <is>
          <t>Poly terry Waterproof mattress protector — KING White</t>
        </is>
      </c>
      <c r="C19" s="10" t="inlineStr"/>
      <c r="D19" s="11" t="inlineStr">
        <is>
          <t>USD</t>
        </is>
      </c>
      <c r="E19" s="11" t="inlineStr"/>
      <c r="F19" s="11" t="n"/>
      <c r="G19" s="11" t="n"/>
      <c r="H19" s="11" t="n"/>
      <c r="I19" s="11" t="n"/>
      <c r="J19" s="11" t="inlineStr">
        <is>
          <t>110gsm - 100% Polyester terry knitted fabric with 0.02mm TPUwhite coating</t>
        </is>
      </c>
      <c r="K19" s="11" t="n">
        <v>110</v>
      </c>
      <c r="L19" s="14" t="inlineStr"/>
      <c r="M19" s="14" t="inlineStr"/>
      <c r="N19" s="14" t="inlineStr"/>
    </row>
    <row r="20">
      <c r="A20" s="9" t="inlineStr">
        <is>
          <t>GPMP72</t>
        </is>
      </c>
      <c r="B20" s="9" t="inlineStr">
        <is>
          <t>Poly terry Waterproof mattress protector — CAL KING White</t>
        </is>
      </c>
      <c r="C20" s="10" t="inlineStr"/>
      <c r="D20" s="9" t="inlineStr">
        <is>
          <t>USD</t>
        </is>
      </c>
      <c r="E20" s="9" t="inlineStr"/>
      <c r="F20" s="9" t="n"/>
      <c r="G20" s="9" t="n"/>
      <c r="H20" s="9" t="n"/>
      <c r="I20" s="9" t="n"/>
      <c r="J20" s="9" t="inlineStr">
        <is>
          <t>110gsm - 100% Polyester terry knitted fabric with 0.02mm TPUwhite coating</t>
        </is>
      </c>
      <c r="K20" s="9" t="n">
        <v>110</v>
      </c>
      <c r="L20" s="14" t="inlineStr"/>
      <c r="M20" s="14" t="inlineStr"/>
      <c r="N20" s="14" t="inlineStr"/>
    </row>
    <row r="21">
      <c r="A21" s="11" t="inlineStr">
        <is>
          <t>GPMP36</t>
        </is>
      </c>
      <c r="B21" s="11" t="inlineStr">
        <is>
          <t>Poly terry Waterproof mattress protector — SPLIT CAL KING White</t>
        </is>
      </c>
      <c r="C21" s="10" t="inlineStr"/>
      <c r="D21" s="11" t="inlineStr">
        <is>
          <t>USD</t>
        </is>
      </c>
      <c r="E21" s="11" t="inlineStr"/>
      <c r="F21" s="11" t="n"/>
      <c r="G21" s="11" t="n"/>
      <c r="H21" s="11" t="n"/>
      <c r="I21" s="11" t="n"/>
      <c r="J21" s="11" t="inlineStr">
        <is>
          <t>110gsm - 100% Polyester terry knitted fabric with 0.02mm TPUwhite coating</t>
        </is>
      </c>
      <c r="K21" s="11" t="n">
        <v>110</v>
      </c>
      <c r="L21" s="14" t="inlineStr"/>
      <c r="M21" s="14" t="inlineStr"/>
      <c r="N21" s="14" t="inlineStr"/>
    </row>
    <row r="22">
      <c r="A22" s="9" t="inlineStr">
        <is>
          <t>GPMP52</t>
        </is>
      </c>
      <c r="B22" s="9" t="inlineStr">
        <is>
          <t>Poly terry Waterproof mattress protector — SPLIT HEAD QUEEN White</t>
        </is>
      </c>
      <c r="C22" s="10" t="inlineStr"/>
      <c r="D22" s="9" t="inlineStr">
        <is>
          <t>USD</t>
        </is>
      </c>
      <c r="E22" s="9" t="inlineStr"/>
      <c r="F22" s="9" t="n"/>
      <c r="G22" s="9" t="n"/>
      <c r="H22" s="9" t="n"/>
      <c r="I22" s="9" t="n"/>
      <c r="J22" s="9" t="inlineStr">
        <is>
          <t>110gsm - 100% Polyester terry knitted fabric with 0.02mm TPUwhite coating</t>
        </is>
      </c>
      <c r="K22" s="9" t="n">
        <v>110</v>
      </c>
      <c r="L22" s="14" t="inlineStr"/>
      <c r="M22" s="14" t="inlineStr"/>
      <c r="N22" s="14" t="inlineStr"/>
    </row>
    <row r="23">
      <c r="A23" s="11" t="inlineStr">
        <is>
          <t>GPMP79</t>
        </is>
      </c>
      <c r="B23" s="11" t="inlineStr">
        <is>
          <t>Poly terry Waterproof mattress protector — SPLIT HEAD KING White</t>
        </is>
      </c>
      <c r="C23" s="10" t="inlineStr"/>
      <c r="D23" s="11" t="inlineStr">
        <is>
          <t>USD</t>
        </is>
      </c>
      <c r="E23" s="11" t="inlineStr"/>
      <c r="F23" s="11" t="n"/>
      <c r="G23" s="11" t="n"/>
      <c r="H23" s="11" t="n"/>
      <c r="I23" s="11" t="n"/>
      <c r="J23" s="11" t="inlineStr">
        <is>
          <t>110gsm - 100% Polyester terry knitted fabric with 0.02mm TPUwhite coating</t>
        </is>
      </c>
      <c r="K23" s="11" t="n">
        <v>110</v>
      </c>
      <c r="L23" s="14" t="inlineStr"/>
      <c r="M23" s="14" t="inlineStr"/>
      <c r="N23" s="14" t="inlineStr"/>
    </row>
    <row r="24">
      <c r="A24" s="9" t="inlineStr">
        <is>
          <t>GPTE33</t>
        </is>
      </c>
      <c r="B24" s="9" t="inlineStr">
        <is>
          <t>Poly terry waterproof total encasement protector — TWIN White</t>
        </is>
      </c>
      <c r="C24" s="10" t="inlineStr"/>
      <c r="D24" s="9" t="inlineStr">
        <is>
          <t>USD</t>
        </is>
      </c>
      <c r="E24" s="9" t="inlineStr"/>
      <c r="F24" s="9" t="n"/>
      <c r="G24" s="9" t="n"/>
      <c r="H24" s="9" t="n"/>
      <c r="I24" s="9" t="n"/>
      <c r="J24" s="9" t="inlineStr">
        <is>
          <t>110gsm - 100% Polyester terry knitted fabric with 0.02mm TPUwhite coating</t>
        </is>
      </c>
      <c r="K24" s="9" t="n">
        <v>110</v>
      </c>
      <c r="L24" s="14" t="inlineStr"/>
      <c r="M24" s="14" t="inlineStr"/>
      <c r="N24" s="14" t="inlineStr"/>
    </row>
    <row r="25">
      <c r="A25" s="11" t="inlineStr">
        <is>
          <t>GPTE38</t>
        </is>
      </c>
      <c r="B25" s="11" t="inlineStr">
        <is>
          <t>Poly terry waterproof total encasement protector — TWIN XL White</t>
        </is>
      </c>
      <c r="C25" s="10" t="inlineStr"/>
      <c r="D25" s="11" t="inlineStr">
        <is>
          <t>USD</t>
        </is>
      </c>
      <c r="E25" s="11" t="inlineStr"/>
      <c r="F25" s="11" t="n"/>
      <c r="G25" s="11" t="n"/>
      <c r="H25" s="11" t="n"/>
      <c r="I25" s="11" t="n"/>
      <c r="J25" s="11" t="inlineStr">
        <is>
          <t>110gsm - 100% Polyester terry knitted fabric with 0.02mm TPUwhite coating</t>
        </is>
      </c>
      <c r="K25" s="11" t="n">
        <v>110</v>
      </c>
      <c r="L25" s="14" t="inlineStr"/>
      <c r="M25" s="14" t="inlineStr"/>
      <c r="N25" s="14" t="inlineStr"/>
    </row>
    <row r="26">
      <c r="A26" s="9" t="inlineStr">
        <is>
          <t>GPTE46</t>
        </is>
      </c>
      <c r="B26" s="9" t="inlineStr">
        <is>
          <t>Poly terry waterproof total encasement protector — FULL White</t>
        </is>
      </c>
      <c r="C26" s="10" t="inlineStr"/>
      <c r="D26" s="9" t="inlineStr">
        <is>
          <t>USD</t>
        </is>
      </c>
      <c r="E26" s="9" t="inlineStr"/>
      <c r="F26" s="9" t="n"/>
      <c r="G26" s="9" t="n"/>
      <c r="H26" s="9" t="n"/>
      <c r="I26" s="9" t="n"/>
      <c r="J26" s="9" t="inlineStr">
        <is>
          <t>110gsm - 100% Polyester terry knitted fabric with 0.02mm TPUwhite coating</t>
        </is>
      </c>
      <c r="K26" s="9" t="n">
        <v>110</v>
      </c>
      <c r="L26" s="14" t="inlineStr"/>
      <c r="M26" s="14" t="inlineStr"/>
      <c r="N26" s="14" t="inlineStr"/>
    </row>
    <row r="27">
      <c r="A27" s="11" t="inlineStr">
        <is>
          <t>GPTE80</t>
        </is>
      </c>
      <c r="B27" s="11" t="inlineStr">
        <is>
          <t>Poly terry waterproof total encasement protector — FULL XL White</t>
        </is>
      </c>
      <c r="C27" s="10" t="inlineStr"/>
      <c r="D27" s="11" t="inlineStr">
        <is>
          <t>USD</t>
        </is>
      </c>
      <c r="E27" s="11" t="inlineStr"/>
      <c r="F27" s="11" t="n"/>
      <c r="G27" s="11" t="n"/>
      <c r="H27" s="11" t="n"/>
      <c r="I27" s="11" t="n"/>
      <c r="J27" s="11" t="inlineStr">
        <is>
          <t>110gsm - 100% Polyester terry knitted fabric with 0.02mm TPUwhite coating</t>
        </is>
      </c>
      <c r="K27" s="11" t="n">
        <v>110</v>
      </c>
      <c r="L27" s="14" t="inlineStr"/>
      <c r="M27" s="14" t="inlineStr"/>
      <c r="N27" s="14" t="inlineStr"/>
    </row>
    <row r="28">
      <c r="A28" s="9" t="inlineStr">
        <is>
          <t>GPTE50</t>
        </is>
      </c>
      <c r="B28" s="9" t="inlineStr">
        <is>
          <t>Poly terry waterproof total encasement protector — QUEEN White</t>
        </is>
      </c>
      <c r="C28" s="10" t="inlineStr"/>
      <c r="D28" s="9" t="inlineStr">
        <is>
          <t>USD</t>
        </is>
      </c>
      <c r="E28" s="9" t="inlineStr"/>
      <c r="F28" s="9" t="n"/>
      <c r="G28" s="9" t="n"/>
      <c r="H28" s="9" t="n"/>
      <c r="I28" s="9" t="n"/>
      <c r="J28" s="9" t="inlineStr">
        <is>
          <t>110gsm - 100% Polyester terry knitted fabric with 0.02mm TPUwhite coating</t>
        </is>
      </c>
      <c r="K28" s="9" t="n">
        <v>110</v>
      </c>
      <c r="L28" s="14" t="inlineStr"/>
      <c r="M28" s="14" t="inlineStr"/>
      <c r="N28" s="14" t="inlineStr"/>
    </row>
    <row r="29">
      <c r="A29" s="11" t="inlineStr">
        <is>
          <t>GPTE78</t>
        </is>
      </c>
      <c r="B29" s="11" t="inlineStr">
        <is>
          <t>Poly terry waterproof total encasement protector — KING White</t>
        </is>
      </c>
      <c r="C29" s="10" t="inlineStr"/>
      <c r="D29" s="11" t="inlineStr">
        <is>
          <t>USD</t>
        </is>
      </c>
      <c r="E29" s="11" t="inlineStr"/>
      <c r="F29" s="11" t="n"/>
      <c r="G29" s="11" t="n"/>
      <c r="H29" s="11" t="n"/>
      <c r="I29" s="11" t="n"/>
      <c r="J29" s="11" t="inlineStr">
        <is>
          <t>110gsm - 100% Polyester terry knitted fabric with 0.02mm TPUwhite coating</t>
        </is>
      </c>
      <c r="K29" s="11" t="n">
        <v>110</v>
      </c>
      <c r="L29" s="14" t="inlineStr"/>
      <c r="M29" s="14" t="inlineStr"/>
      <c r="N29" s="14" t="inlineStr"/>
    </row>
    <row r="30">
      <c r="A30" s="9" t="inlineStr">
        <is>
          <t>GPTE72</t>
        </is>
      </c>
      <c r="B30" s="9" t="inlineStr">
        <is>
          <t>Poly terry waterproof total encasement protector — CAL KING White</t>
        </is>
      </c>
      <c r="C30" s="10" t="inlineStr"/>
      <c r="D30" s="9" t="inlineStr">
        <is>
          <t>USD</t>
        </is>
      </c>
      <c r="E30" s="9" t="inlineStr"/>
      <c r="F30" s="9" t="n"/>
      <c r="G30" s="9" t="n"/>
      <c r="H30" s="9" t="n"/>
      <c r="I30" s="9" t="n"/>
      <c r="J30" s="9" t="inlineStr">
        <is>
          <t>110gsm - 100% Polyester terry knitted fabric with 0.02mm TPUwhite coating</t>
        </is>
      </c>
      <c r="K30" s="9" t="n">
        <v>110</v>
      </c>
      <c r="L30" s="14" t="inlineStr"/>
      <c r="M30" s="14" t="inlineStr"/>
      <c r="N30" s="14" t="inlineStr"/>
    </row>
    <row r="31">
      <c r="A31" s="11" t="inlineStr">
        <is>
          <t>GPTE36</t>
        </is>
      </c>
      <c r="B31" s="11" t="inlineStr">
        <is>
          <t>Poly terry waterproof total encasement protector — SP CAL KING White</t>
        </is>
      </c>
      <c r="C31" s="10" t="inlineStr"/>
      <c r="D31" s="11" t="inlineStr">
        <is>
          <t>USD</t>
        </is>
      </c>
      <c r="E31" s="11" t="inlineStr"/>
      <c r="F31" s="11" t="n"/>
      <c r="G31" s="11" t="n"/>
      <c r="H31" s="11" t="n"/>
      <c r="I31" s="11" t="n"/>
      <c r="J31" s="11" t="inlineStr">
        <is>
          <t>110gsm - 100% Polyester terry knitted fabric with 0.02mm TPUwhite coating</t>
        </is>
      </c>
      <c r="K31" s="11" t="n">
        <v>110</v>
      </c>
      <c r="L31" s="14" t="inlineStr"/>
      <c r="M31" s="14" t="inlineStr"/>
      <c r="N31" s="14" t="inlineStr"/>
    </row>
    <row r="32">
      <c r="A32" s="9" t="inlineStr">
        <is>
          <t>GPTE52</t>
        </is>
      </c>
      <c r="B32" s="9" t="inlineStr">
        <is>
          <t>Poly terry waterproof total encasement protector — SPLIT HEAD QUEEN White</t>
        </is>
      </c>
      <c r="C32" s="10" t="inlineStr"/>
      <c r="D32" s="9" t="inlineStr">
        <is>
          <t>USD</t>
        </is>
      </c>
      <c r="E32" s="9" t="n">
        <v>10</v>
      </c>
      <c r="F32" s="9" t="n">
        <v>58</v>
      </c>
      <c r="G32" s="9" t="n">
        <v>28.5</v>
      </c>
      <c r="H32" s="9" t="n">
        <v>49</v>
      </c>
      <c r="I32" s="9" t="n">
        <v>0.081</v>
      </c>
      <c r="J32" s="9" t="inlineStr">
        <is>
          <t>110gsm - 100% Polyester terry knitted fabric with 0.02mm TPUwhite coating</t>
        </is>
      </c>
      <c r="K32" s="9" t="n">
        <v>110</v>
      </c>
      <c r="L32" s="14" t="inlineStr"/>
      <c r="M32" s="14" t="inlineStr"/>
      <c r="N32" s="14" t="inlineStr"/>
    </row>
    <row r="33">
      <c r="A33" s="11" t="inlineStr">
        <is>
          <t>GPTE79</t>
        </is>
      </c>
      <c r="B33" s="11" t="inlineStr">
        <is>
          <t>Poly terry waterproof total encasement protector — SPLIT HEAD KING White</t>
        </is>
      </c>
      <c r="C33" s="10" t="inlineStr"/>
      <c r="D33" s="11" t="inlineStr">
        <is>
          <t>USD</t>
        </is>
      </c>
      <c r="E33" s="11" t="n">
        <v>8</v>
      </c>
      <c r="F33" s="11" t="n">
        <v>58</v>
      </c>
      <c r="G33" s="11" t="n">
        <v>28.5</v>
      </c>
      <c r="H33" s="11" t="n">
        <v>43</v>
      </c>
      <c r="I33" s="11" t="n">
        <v>0.0711</v>
      </c>
      <c r="J33" s="11" t="inlineStr">
        <is>
          <t>110gsm - 100% Polyester terry knitted fabric with 0.02mm TPUwhite coating</t>
        </is>
      </c>
      <c r="K33" s="11" t="n">
        <v>110</v>
      </c>
      <c r="L33" s="14" t="inlineStr"/>
      <c r="M33" s="14" t="inlineStr"/>
      <c r="N33" s="14" t="inlineStr"/>
    </row>
    <row r="34">
      <c r="A34" s="9" t="inlineStr">
        <is>
          <t>GPSE33</t>
        </is>
      </c>
      <c r="B34" s="9" t="inlineStr">
        <is>
          <t>Poly terry waterproof total encasement protector — SLEEPER - TWIN White</t>
        </is>
      </c>
      <c r="C34" s="10" t="inlineStr"/>
      <c r="D34" s="9" t="inlineStr">
        <is>
          <t>USD</t>
        </is>
      </c>
      <c r="E34" s="9" t="inlineStr"/>
      <c r="F34" s="9" t="n"/>
      <c r="G34" s="9" t="n"/>
      <c r="H34" s="9" t="n"/>
      <c r="I34" s="9" t="n"/>
      <c r="J34" s="9" t="inlineStr">
        <is>
          <t>110gsm - 100% Polyester terry knitted fabric with 0.02mm TPUwhite coating</t>
        </is>
      </c>
      <c r="K34" s="9" t="n">
        <v>110</v>
      </c>
      <c r="L34" s="14" t="inlineStr"/>
      <c r="M34" s="14" t="inlineStr"/>
      <c r="N34" s="14" t="inlineStr"/>
    </row>
    <row r="35">
      <c r="A35" s="11" t="inlineStr">
        <is>
          <t>GPSE46</t>
        </is>
      </c>
      <c r="B35" s="11" t="inlineStr">
        <is>
          <t>Poly terry waterproof total encasement protector — SLEEPER - FULL White</t>
        </is>
      </c>
      <c r="C35" s="10" t="inlineStr"/>
      <c r="D35" s="11" t="inlineStr">
        <is>
          <t>USD</t>
        </is>
      </c>
      <c r="E35" s="11" t="inlineStr"/>
      <c r="F35" s="11" t="n"/>
      <c r="G35" s="11" t="n"/>
      <c r="H35" s="11" t="n"/>
      <c r="I35" s="11" t="n"/>
      <c r="J35" s="11" t="inlineStr">
        <is>
          <t>110gsm - 100% Polyester terry knitted fabric with 0.02mm TPUwhite coating</t>
        </is>
      </c>
      <c r="K35" s="11" t="n">
        <v>110</v>
      </c>
      <c r="L35" s="14" t="inlineStr"/>
      <c r="M35" s="14" t="inlineStr"/>
      <c r="N35" s="14" t="inlineStr"/>
    </row>
    <row r="36">
      <c r="A36" s="9" t="inlineStr">
        <is>
          <t>GPSE50</t>
        </is>
      </c>
      <c r="B36" s="9" t="inlineStr">
        <is>
          <t>Poly terry waterproof total encasement protector — SLEEPER - QUEEN White</t>
        </is>
      </c>
      <c r="C36" s="10" t="inlineStr"/>
      <c r="D36" s="9" t="inlineStr">
        <is>
          <t>USD</t>
        </is>
      </c>
      <c r="E36" s="9" t="inlineStr"/>
      <c r="F36" s="9" t="n"/>
      <c r="G36" s="9" t="n"/>
      <c r="H36" s="9" t="n"/>
      <c r="I36" s="9" t="n"/>
      <c r="J36" s="9" t="inlineStr">
        <is>
          <t>110gsm - 100% Polyester terry knitted fabric with 0.02mm TPUwhite coating</t>
        </is>
      </c>
      <c r="K36" s="9" t="n">
        <v>110</v>
      </c>
      <c r="L36" s="14" t="inlineStr"/>
      <c r="M36" s="14" t="inlineStr"/>
      <c r="N36" s="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2026-04-20T13:06:35Z</dcterms:created>
  <dcterms:modified xmlns:dcterms="http://purl.org/dc/terms/" xmlns:xsi="http://www.w3.org/2001/XMLSchema-instance" xsi:type="dcterms:W3CDTF">2026-04-20T13:06:35Z</dcterms:modified>
</cp:coreProperties>
</file>