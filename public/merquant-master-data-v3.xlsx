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Articles (SKUs)" sheetId="2" state="visible" r:id="rId2"/>
    <sheet xmlns:r="http://schemas.openxmlformats.org/officeDocument/2006/relationships" name="2. SKU Fabric Consumption" sheetId="3" state="visible" r:id="rId3"/>
    <sheet xmlns:r="http://schemas.openxmlformats.org/officeDocument/2006/relationships" name="3. SKU Accessory Consumption" sheetId="4" state="visible" r:id="rId4"/>
    <sheet xmlns:r="http://schemas.openxmlformats.org/officeDocument/2006/relationships" name="4. Carton Master" sheetId="5" state="visible" r:id="rId5"/>
    <sheet xmlns:r="http://schemas.openxmlformats.org/officeDocument/2006/relationships" name="5. Price List" sheetId="6" state="visible" r:id="rId6"/>
    <sheet xmlns:r="http://schemas.openxmlformats.org/officeDocument/2006/relationships" name="6. Suppliers" sheetId="7" state="visible" r:id="rId7"/>
    <sheet xmlns:r="http://schemas.openxmlformats.org/officeDocument/2006/relationships" name="7. Seasons" sheetId="8" state="visible" r:id="rId8"/>
    <sheet xmlns:r="http://schemas.openxmlformats.org/officeDocument/2006/relationships" name="8. Production Li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666666"/>
      <sz val="10"/>
    </font>
    <font>
      <name val="Arial"/>
      <color rgb="00333333"/>
      <sz val="10"/>
    </font>
    <font>
      <name val="Arial"/>
      <b val="1"/>
      <color rgb="001F3864"/>
      <sz val="12"/>
    </font>
    <font>
      <name val="Arial"/>
      <color rgb="001F3864"/>
      <sz val="10"/>
    </font>
    <font>
      <name val="Arial"/>
      <color rgb="00B45309"/>
      <sz val="10"/>
    </font>
    <font>
      <name val="Arial"/>
      <color rgb="0092400E"/>
      <sz val="10"/>
    </font>
    <font>
      <name val="Arial"/>
      <color rgb="00059669"/>
      <sz val="10"/>
    </font>
    <font>
      <name val="Arial"/>
      <b val="1"/>
      <color rgb="00FFFFFF"/>
      <sz val="10"/>
    </font>
    <font>
      <i val="1"/>
      <color rgb="003730A3"/>
      <sz val="10"/>
    </font>
    <font>
      <i val="1"/>
      <color rgb="0092400E"/>
      <sz val="10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8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10" fillId="5" borderId="1" pivotButton="0" quotePrefix="0" xfId="0"/>
    <xf numFmtId="0" fontId="10" fillId="0" borderId="1" pivotButton="0" quotePrefix="0" xfId="0"/>
    <xf numFmtId="0" fontId="11" fillId="4" borderId="1" pivotButton="0" quotePrefix="0" xfId="0"/>
    <xf numFmtId="0" fontId="0" fillId="4" borderId="1" pivotButton="0" quotePrefix="0" xfId="0"/>
    <xf numFmtId="0" fontId="8" fillId="4" borderId="1" pivotButton="0" quotePrefix="0" xfId="0"/>
    <xf numFmtId="0" fontId="12" fillId="5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MerQuant — Master Data Sheet v3</t>
        </is>
      </c>
    </row>
    <row r="2">
      <c r="A2" s="2" t="inlineStr">
        <is>
          <t>Full source of truth: articles, BOM specs, consumption, pricing, carton, suppliers</t>
        </is>
      </c>
    </row>
    <row r="3">
      <c r="A3" s="3" t="inlineStr"/>
    </row>
    <row r="4">
      <c r="A4" s="4" t="inlineStr">
        <is>
          <t>NEW IN v3</t>
        </is>
      </c>
    </row>
    <row r="5">
      <c r="A5" s="3" t="inlineStr">
        <is>
          <t xml:space="preserve">  • Product dimensions: product_length_in, product_width_in, product_depth_in (numeric cols)</t>
        </is>
      </c>
    </row>
    <row r="6">
      <c r="A6" s="3" t="inlineStr">
        <is>
          <t xml:space="preserve">  • Auto-assembled finish_dimensions string (e.g. '39x75x18"')</t>
        </is>
      </c>
    </row>
    <row r="7">
      <c r="A7" s="3" t="inlineStr">
        <is>
          <t xml:space="preserve">  • Direction column on fabric rows: WXL / LXL / LXW / WXW (inferred by component)</t>
        </is>
      </c>
    </row>
    <row r="8">
      <c r="A8" s="3" t="inlineStr">
        <is>
          <t xml:space="preserve">  • Rules: Skirt=LXW · Piping+Binding=WXL · Platform+Bottom+Sheet=WXL · Other=user enters</t>
        </is>
      </c>
    </row>
    <row r="9">
      <c r="A9" s="3" t="inlineStr"/>
    </row>
    <row r="10">
      <c r="A10" s="4" t="inlineStr">
        <is>
          <t>COLOR KEY</t>
        </is>
      </c>
    </row>
    <row r="11">
      <c r="A11" s="5" t="inlineStr">
        <is>
          <t xml:space="preserve">  Dark blue  = auto from BOB tech pack / CSV</t>
        </is>
      </c>
    </row>
    <row r="12">
      <c r="A12" s="6" t="inlineStr">
        <is>
          <t xml:space="preserve">  Amber      = REQUIRED</t>
        </is>
      </c>
    </row>
    <row r="13">
      <c r="A13" s="7" t="inlineStr">
        <is>
          <t xml:space="preserve">  Yellow     = OPTIONAL</t>
        </is>
      </c>
    </row>
    <row r="14">
      <c r="A14" s="8" t="inlineStr">
        <is>
          <t xml:space="preserve">  Green text = populated with real values</t>
        </is>
      </c>
    </row>
    <row r="15">
      <c r="A15" s="3" t="inlineStr"/>
    </row>
    <row r="16">
      <c r="A16" s="4" t="inlineStr">
        <is>
          <t>SHEETS</t>
        </is>
      </c>
    </row>
    <row r="17">
      <c r="A17" s="3" t="inlineStr">
        <is>
          <t xml:space="preserve">  1. Articles (SKUs)            — dimensions (L/W/D), assembled string, zipper, carton</t>
        </is>
      </c>
    </row>
    <row r="18">
      <c r="A18" s="3" t="inlineStr">
        <is>
          <t xml:space="preserve">  2. SKU Fabric Consumption     — per SKU×component with direction, width, consumption, wastage</t>
        </is>
      </c>
    </row>
    <row r="19">
      <c r="A19" s="3" t="inlineStr">
        <is>
          <t xml:space="preserve">  3. SKU Accessory Consumption  — zipper (meters), thread, elastic, labels, packaging</t>
        </is>
      </c>
    </row>
    <row r="20">
      <c r="A20" s="3" t="inlineStr">
        <is>
          <t xml:space="preserve">  4. Carton Master              — carton L/W/H/CBM per SKU</t>
        </is>
      </c>
    </row>
    <row r="21">
      <c r="A21" s="3" t="inlineStr">
        <is>
          <t xml:space="preserve">  5. Price List                 — with effective_from/effective_to for supersedes history</t>
        </is>
      </c>
    </row>
    <row r="22">
      <c r="A22" s="3" t="inlineStr">
        <is>
          <t xml:space="preserve">  6. Suppliers · 7. Seasons · 8. Production Lines</t>
        </is>
      </c>
    </row>
    <row r="23">
      <c r="A23" s="3" t="inlineStr"/>
    </row>
    <row r="24">
      <c r="A24" s="4" t="inlineStr">
        <is>
          <t>DIRECTION CODES (textile cut layout)</t>
        </is>
      </c>
    </row>
    <row r="25">
      <c r="A25" s="3" t="inlineStr">
        <is>
          <t xml:space="preserve">  WXL = Width of fabric × Length of product piece (most common for body panels)</t>
        </is>
      </c>
    </row>
    <row r="26">
      <c r="A26" s="3" t="inlineStr">
        <is>
          <t xml:space="preserve">  LXL = Length of fabric × Length of product (piece runs along roll)</t>
        </is>
      </c>
    </row>
    <row r="27">
      <c r="A27" s="3" t="inlineStr">
        <is>
          <t xml:space="preserve">  LXW = Length × Width (long strip cut along fabric length, e.g. skirt)</t>
        </is>
      </c>
    </row>
    <row r="28">
      <c r="A28" s="3" t="inlineStr">
        <is>
          <t xml:space="preserve">  WXW = Width × Width (small square pieces)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6" customWidth="1" min="12" max="12"/>
    <col width="20" customWidth="1" min="13" max="13"/>
    <col width="21" customWidth="1" min="14" max="14"/>
    <col width="17" customWidth="1" min="15" max="15"/>
    <col width="14" customWidth="1" min="16" max="16"/>
    <col width="19" customWidth="1" min="17" max="17"/>
    <col width="16" customWidth="1" min="18" max="18"/>
  </cols>
  <sheetData>
    <row r="1" ht="34" customHeight="1">
      <c r="A1" s="9" t="inlineStr">
        <is>
          <t>tech_pack_code</t>
        </is>
      </c>
      <c r="B1" s="9" t="inlineStr">
        <is>
          <t>brand</t>
        </is>
      </c>
      <c r="C1" s="9" t="inlineStr">
        <is>
          <t>product_type</t>
        </is>
      </c>
      <c r="D1" s="9" t="inlineStr">
        <is>
          <t>product_category</t>
        </is>
      </c>
      <c r="E1" s="9" t="inlineStr">
        <is>
          <t>size</t>
        </is>
      </c>
      <c r="F1" s="9" t="inlineStr">
        <is>
          <t>item_code</t>
        </is>
      </c>
      <c r="G1" s="9" t="inlineStr">
        <is>
          <t>bob_sku</t>
        </is>
      </c>
      <c r="H1" s="9" t="inlineStr">
        <is>
          <t>color</t>
        </is>
      </c>
      <c r="I1" s="10" t="inlineStr">
        <is>
          <t>product_length_in</t>
        </is>
      </c>
      <c r="J1" s="10" t="inlineStr">
        <is>
          <t>product_width_in</t>
        </is>
      </c>
      <c r="K1" s="11" t="inlineStr">
        <is>
          <t>product_depth_in</t>
        </is>
      </c>
      <c r="L1" s="9" t="inlineStr">
        <is>
          <t>finish_dimensions</t>
        </is>
      </c>
      <c r="M1" s="9" t="inlineStr">
        <is>
          <t>insert_dimensions</t>
        </is>
      </c>
      <c r="N1" s="9" t="inlineStr">
        <is>
          <t>pvc_bag_dimensions</t>
        </is>
      </c>
      <c r="O1" s="9" t="inlineStr">
        <is>
          <t>stiffener_size</t>
        </is>
      </c>
      <c r="P1" s="9" t="inlineStr">
        <is>
          <t>zipper_length_cm</t>
        </is>
      </c>
      <c r="Q1" s="9" t="inlineStr">
        <is>
          <t>units_per_carton</t>
        </is>
      </c>
      <c r="R1" s="9" t="inlineStr">
        <is>
          <t>carton_size_cm</t>
        </is>
      </c>
    </row>
    <row r="2">
      <c r="A2" s="12" t="inlineStr">
        <is>
          <t>FT2</t>
        </is>
      </c>
      <c r="B2" s="12" t="inlineStr">
        <is>
          <t>BOB</t>
        </is>
      </c>
      <c r="C2" s="12" t="inlineStr">
        <is>
          <t>Cooling Waterproof mattress protector</t>
        </is>
      </c>
      <c r="D2" s="12" t="inlineStr">
        <is>
          <t>Mattress Protector</t>
        </is>
      </c>
      <c r="E2" s="12" t="inlineStr">
        <is>
          <t>TWIN</t>
        </is>
      </c>
      <c r="F2" s="12" t="inlineStr">
        <is>
          <t>GPFRIOMP33</t>
        </is>
      </c>
      <c r="G2" s="12" t="inlineStr">
        <is>
          <t>10001731001</t>
        </is>
      </c>
      <c r="H2" s="12" t="inlineStr">
        <is>
          <t>White</t>
        </is>
      </c>
      <c r="I2" s="13" t="n">
        <v>39</v>
      </c>
      <c r="J2" s="13" t="n">
        <v>75</v>
      </c>
      <c r="K2" s="13" t="n">
        <v>14.5</v>
      </c>
      <c r="L2" s="13" t="inlineStr">
        <is>
          <t>39.0x75.0x14.5"</t>
        </is>
      </c>
      <c r="M2" s="12" t="inlineStr">
        <is>
          <t>26.50x53.00CM</t>
        </is>
      </c>
      <c r="N2" s="12" t="inlineStr">
        <is>
          <t>26.50X26.50+5.00CM</t>
        </is>
      </c>
      <c r="O2" s="12" t="inlineStr">
        <is>
          <t>25.5X26X4.2CM</t>
        </is>
      </c>
      <c r="P2" s="12" t="n"/>
      <c r="Q2" s="12" t="n">
        <v>10</v>
      </c>
      <c r="R2" s="12" t="inlineStr">
        <is>
          <t>56*29*27</t>
        </is>
      </c>
    </row>
    <row r="3">
      <c r="A3" s="14" t="inlineStr">
        <is>
          <t>FT2</t>
        </is>
      </c>
      <c r="B3" s="14" t="inlineStr">
        <is>
          <t>BOB</t>
        </is>
      </c>
      <c r="C3" s="14" t="inlineStr">
        <is>
          <t>Cooling Waterproof mattress protector</t>
        </is>
      </c>
      <c r="D3" s="14" t="inlineStr">
        <is>
          <t>Mattress Protector</t>
        </is>
      </c>
      <c r="E3" s="14" t="inlineStr">
        <is>
          <t>TWIN XL</t>
        </is>
      </c>
      <c r="F3" s="14" t="inlineStr">
        <is>
          <t>GPFRIOMP38</t>
        </is>
      </c>
      <c r="G3" s="14" t="inlineStr">
        <is>
          <t>10001731002</t>
        </is>
      </c>
      <c r="H3" s="14" t="inlineStr">
        <is>
          <t>White</t>
        </is>
      </c>
      <c r="I3" s="15" t="n">
        <v>39</v>
      </c>
      <c r="J3" s="15" t="n">
        <v>80</v>
      </c>
      <c r="K3" s="15" t="n">
        <v>15.5</v>
      </c>
      <c r="L3" s="15" t="inlineStr">
        <is>
          <t>39.0x80.0x15.5"</t>
        </is>
      </c>
      <c r="M3" s="14" t="inlineStr">
        <is>
          <t>26.50x53.00CM</t>
        </is>
      </c>
      <c r="N3" s="14" t="inlineStr">
        <is>
          <t>26.50X26.50+5.00CM</t>
        </is>
      </c>
      <c r="O3" s="14" t="inlineStr">
        <is>
          <t>25.5X26X4.2CM</t>
        </is>
      </c>
      <c r="P3" s="14" t="n"/>
      <c r="Q3" s="14" t="n">
        <v>10</v>
      </c>
      <c r="R3" s="14" t="inlineStr">
        <is>
          <t>56*29*27</t>
        </is>
      </c>
    </row>
    <row r="4">
      <c r="A4" s="12" t="inlineStr">
        <is>
          <t>FT2</t>
        </is>
      </c>
      <c r="B4" s="12" t="inlineStr">
        <is>
          <t>BOB</t>
        </is>
      </c>
      <c r="C4" s="12" t="inlineStr">
        <is>
          <t>Cooling Waterproof mattress protector</t>
        </is>
      </c>
      <c r="D4" s="12" t="inlineStr">
        <is>
          <t>Mattress Protector</t>
        </is>
      </c>
      <c r="E4" s="12" t="inlineStr">
        <is>
          <t>FULL</t>
        </is>
      </c>
      <c r="F4" s="12" t="inlineStr">
        <is>
          <t>GPFRIOMP46</t>
        </is>
      </c>
      <c r="G4" s="12" t="inlineStr">
        <is>
          <t>10001731003</t>
        </is>
      </c>
      <c r="H4" s="12" t="inlineStr">
        <is>
          <t>White</t>
        </is>
      </c>
      <c r="I4" s="13" t="n">
        <v>54</v>
      </c>
      <c r="J4" s="13" t="n">
        <v>75</v>
      </c>
      <c r="K4" s="13" t="n">
        <v>14.5</v>
      </c>
      <c r="L4" s="13" t="inlineStr">
        <is>
          <t>54.0x75.0x14.5"</t>
        </is>
      </c>
      <c r="M4" s="12" t="inlineStr">
        <is>
          <t>26.50x53.00CM</t>
        </is>
      </c>
      <c r="N4" s="12" t="inlineStr">
        <is>
          <t>26.50X26.50+5.00CM</t>
        </is>
      </c>
      <c r="O4" s="12" t="inlineStr">
        <is>
          <t>25.5X26X4.2CM</t>
        </is>
      </c>
      <c r="P4" s="12" t="n"/>
      <c r="Q4" s="12" t="n">
        <v>10</v>
      </c>
      <c r="R4" s="12" t="inlineStr">
        <is>
          <t>56*29*27</t>
        </is>
      </c>
    </row>
    <row r="5">
      <c r="A5" s="14" t="inlineStr">
        <is>
          <t>FT2</t>
        </is>
      </c>
      <c r="B5" s="14" t="inlineStr">
        <is>
          <t>BOB</t>
        </is>
      </c>
      <c r="C5" s="14" t="inlineStr">
        <is>
          <t>Cooling Waterproof mattress protector</t>
        </is>
      </c>
      <c r="D5" s="14" t="inlineStr">
        <is>
          <t>Mattress Protector</t>
        </is>
      </c>
      <c r="E5" s="14" t="inlineStr">
        <is>
          <t>FULL XL</t>
        </is>
      </c>
      <c r="F5" s="14" t="inlineStr">
        <is>
          <t>GPFRIOMP80</t>
        </is>
      </c>
      <c r="G5" s="14" t="inlineStr"/>
      <c r="H5" s="14" t="inlineStr">
        <is>
          <t>White</t>
        </is>
      </c>
      <c r="I5" s="15" t="n">
        <v>54</v>
      </c>
      <c r="J5" s="15" t="n">
        <v>80</v>
      </c>
      <c r="K5" s="15" t="n">
        <v>114.5</v>
      </c>
      <c r="L5" s="15" t="inlineStr">
        <is>
          <t>54.0x80.0x114.5"</t>
        </is>
      </c>
      <c r="M5" s="14" t="inlineStr">
        <is>
          <t>26.50x53.00CM</t>
        </is>
      </c>
      <c r="N5" s="14" t="inlineStr">
        <is>
          <t>26.50X26.50+5.00CM</t>
        </is>
      </c>
      <c r="O5" s="14" t="inlineStr">
        <is>
          <t>25.5X26X4.2CM</t>
        </is>
      </c>
      <c r="P5" s="14" t="n"/>
      <c r="Q5" s="14" t="n">
        <v>10</v>
      </c>
      <c r="R5" s="14" t="inlineStr">
        <is>
          <t>56*29*27</t>
        </is>
      </c>
    </row>
    <row r="6">
      <c r="A6" s="12" t="inlineStr">
        <is>
          <t>FT2</t>
        </is>
      </c>
      <c r="B6" s="12" t="inlineStr">
        <is>
          <t>BOB</t>
        </is>
      </c>
      <c r="C6" s="12" t="inlineStr">
        <is>
          <t>Cooling Waterproof mattress protector</t>
        </is>
      </c>
      <c r="D6" s="12" t="inlineStr">
        <is>
          <t>Mattress Protector</t>
        </is>
      </c>
      <c r="E6" s="12" t="inlineStr">
        <is>
          <t>QUEEN</t>
        </is>
      </c>
      <c r="F6" s="12" t="inlineStr">
        <is>
          <t>GPFRIOMP50</t>
        </is>
      </c>
      <c r="G6" s="12" t="inlineStr">
        <is>
          <t>10001731004</t>
        </is>
      </c>
      <c r="H6" s="12" t="inlineStr">
        <is>
          <t>White</t>
        </is>
      </c>
      <c r="I6" s="13" t="n">
        <v>60</v>
      </c>
      <c r="J6" s="13" t="n">
        <v>80</v>
      </c>
      <c r="K6" s="13" t="n">
        <v>17</v>
      </c>
      <c r="L6" s="13" t="inlineStr">
        <is>
          <t>60.0x80.0x17.0"</t>
        </is>
      </c>
      <c r="M6" s="12" t="inlineStr">
        <is>
          <t>26.50x54.00CM</t>
        </is>
      </c>
      <c r="N6" s="12" t="inlineStr">
        <is>
          <t>26.50X26.50+6.00CM</t>
        </is>
      </c>
      <c r="O6" s="12" t="inlineStr">
        <is>
          <t>25.5X26X5.2CM</t>
        </is>
      </c>
      <c r="P6" s="12" t="n"/>
      <c r="Q6" s="12" t="n">
        <v>10</v>
      </c>
      <c r="R6" s="12" t="inlineStr">
        <is>
          <t>56*29*32</t>
        </is>
      </c>
    </row>
    <row r="7">
      <c r="A7" s="14" t="inlineStr">
        <is>
          <t>FT2</t>
        </is>
      </c>
      <c r="B7" s="14" t="inlineStr">
        <is>
          <t>BOB</t>
        </is>
      </c>
      <c r="C7" s="14" t="inlineStr">
        <is>
          <t>Cooling Waterproof mattress protector</t>
        </is>
      </c>
      <c r="D7" s="14" t="inlineStr">
        <is>
          <t>Mattress Protector</t>
        </is>
      </c>
      <c r="E7" s="14" t="inlineStr">
        <is>
          <t>KING</t>
        </is>
      </c>
      <c r="F7" s="14" t="inlineStr">
        <is>
          <t>GPFRIOMP78</t>
        </is>
      </c>
      <c r="G7" s="14" t="inlineStr">
        <is>
          <t>10001731005</t>
        </is>
      </c>
      <c r="H7" s="14" t="inlineStr">
        <is>
          <t>White</t>
        </is>
      </c>
      <c r="I7" s="15" t="n">
        <v>78</v>
      </c>
      <c r="J7" s="15" t="n">
        <v>80</v>
      </c>
      <c r="K7" s="15" t="n">
        <v>17</v>
      </c>
      <c r="L7" s="15" t="inlineStr">
        <is>
          <t>78.0x80.0x17.0"</t>
        </is>
      </c>
      <c r="M7" s="14" t="inlineStr">
        <is>
          <t>26.50x55.00CM</t>
        </is>
      </c>
      <c r="N7" s="14" t="inlineStr">
        <is>
          <t>26.50X26.50+7.00CM</t>
        </is>
      </c>
      <c r="O7" s="14" t="inlineStr">
        <is>
          <t>25.5X26X6.2CM</t>
        </is>
      </c>
      <c r="P7" s="14" t="n"/>
      <c r="Q7" s="14" t="n">
        <v>8</v>
      </c>
      <c r="R7" s="14" t="inlineStr">
        <is>
          <t>56*29*30</t>
        </is>
      </c>
    </row>
    <row r="8">
      <c r="A8" s="12" t="inlineStr">
        <is>
          <t>FT2</t>
        </is>
      </c>
      <c r="B8" s="12" t="inlineStr">
        <is>
          <t>BOB</t>
        </is>
      </c>
      <c r="C8" s="12" t="inlineStr">
        <is>
          <t>Cooling Waterproof mattress protector</t>
        </is>
      </c>
      <c r="D8" s="12" t="inlineStr">
        <is>
          <t>Mattress Protector</t>
        </is>
      </c>
      <c r="E8" s="12" t="inlineStr">
        <is>
          <t>CAL KING</t>
        </is>
      </c>
      <c r="F8" s="12" t="inlineStr">
        <is>
          <t>GPFRIOMP72</t>
        </is>
      </c>
      <c r="G8" s="12" t="inlineStr">
        <is>
          <t>10001731006</t>
        </is>
      </c>
      <c r="H8" s="12" t="inlineStr">
        <is>
          <t>White</t>
        </is>
      </c>
      <c r="I8" s="13" t="n">
        <v>72</v>
      </c>
      <c r="J8" s="13" t="n">
        <v>84</v>
      </c>
      <c r="K8" s="13" t="n">
        <v>17</v>
      </c>
      <c r="L8" s="13" t="inlineStr">
        <is>
          <t>72.0x84.0x17.0"</t>
        </is>
      </c>
      <c r="M8" s="12" t="inlineStr">
        <is>
          <t>26.50x55.00CM</t>
        </is>
      </c>
      <c r="N8" s="12" t="inlineStr">
        <is>
          <t>26.50X26.50+7.00CM</t>
        </is>
      </c>
      <c r="O8" s="12" t="inlineStr">
        <is>
          <t>25.5X26X6.2CM</t>
        </is>
      </c>
      <c r="P8" s="12" t="n"/>
      <c r="Q8" s="12" t="n">
        <v>8</v>
      </c>
      <c r="R8" s="12" t="inlineStr">
        <is>
          <t>56*29*30</t>
        </is>
      </c>
    </row>
    <row r="9">
      <c r="A9" s="14" t="inlineStr">
        <is>
          <t>FT2</t>
        </is>
      </c>
      <c r="B9" s="14" t="inlineStr">
        <is>
          <t>BOB</t>
        </is>
      </c>
      <c r="C9" s="14" t="inlineStr">
        <is>
          <t>Cooling Waterproof mattress protector</t>
        </is>
      </c>
      <c r="D9" s="14" t="inlineStr">
        <is>
          <t>Mattress Protector</t>
        </is>
      </c>
      <c r="E9" s="14" t="inlineStr">
        <is>
          <t>SPLIT  CAL KING</t>
        </is>
      </c>
      <c r="F9" s="14" t="inlineStr">
        <is>
          <t>GPFRIOMP36</t>
        </is>
      </c>
      <c r="G9" s="14" t="inlineStr"/>
      <c r="H9" s="14" t="inlineStr">
        <is>
          <t>White</t>
        </is>
      </c>
      <c r="I9" s="15" t="n">
        <v>36</v>
      </c>
      <c r="J9" s="15" t="n">
        <v>84</v>
      </c>
      <c r="K9" s="15" t="n">
        <v>15.5</v>
      </c>
      <c r="L9" s="15" t="inlineStr">
        <is>
          <t>36.0x84.0x15.5"</t>
        </is>
      </c>
      <c r="M9" s="14" t="inlineStr">
        <is>
          <t>26.50x53.00CM</t>
        </is>
      </c>
      <c r="N9" s="14" t="inlineStr">
        <is>
          <t>26.50X26.50+5.00CM</t>
        </is>
      </c>
      <c r="O9" s="14" t="inlineStr">
        <is>
          <t>25.5X26X4.2CM</t>
        </is>
      </c>
      <c r="P9" s="14" t="n"/>
      <c r="Q9" s="14" t="inlineStr"/>
      <c r="R9" s="14" t="inlineStr"/>
    </row>
    <row r="10">
      <c r="A10" s="12" t="inlineStr">
        <is>
          <t>FT2</t>
        </is>
      </c>
      <c r="B10" s="12" t="inlineStr">
        <is>
          <t>BOB</t>
        </is>
      </c>
      <c r="C10" s="12" t="inlineStr">
        <is>
          <t>Cooling Waterproof mattress protector</t>
        </is>
      </c>
      <c r="D10" s="12" t="inlineStr">
        <is>
          <t>Mattress Protector</t>
        </is>
      </c>
      <c r="E10" s="12" t="inlineStr">
        <is>
          <t>SPLIT HEAD QUEEN</t>
        </is>
      </c>
      <c r="F10" s="12" t="inlineStr">
        <is>
          <t>GPFRIOMP52</t>
        </is>
      </c>
      <c r="G10" s="12" t="inlineStr">
        <is>
          <t>10001731008</t>
        </is>
      </c>
      <c r="H10" s="12" t="inlineStr">
        <is>
          <t>White</t>
        </is>
      </c>
      <c r="I10" s="13" t="n">
        <v>60</v>
      </c>
      <c r="J10" s="13" t="n">
        <v>80</v>
      </c>
      <c r="K10" s="13" t="n">
        <v>17</v>
      </c>
      <c r="L10" s="13" t="inlineStr">
        <is>
          <t>60.0x80.0x17.0"</t>
        </is>
      </c>
      <c r="M10" s="12" t="inlineStr">
        <is>
          <t>26.50x54.00CM</t>
        </is>
      </c>
      <c r="N10" s="12" t="inlineStr">
        <is>
          <t>26.50X26.50+6.00CM</t>
        </is>
      </c>
      <c r="O10" s="12" t="inlineStr">
        <is>
          <t>25.5X26X5.2CM</t>
        </is>
      </c>
      <c r="P10" s="12" t="n"/>
      <c r="Q10" s="12" t="n">
        <v>10</v>
      </c>
      <c r="R10" s="12" t="inlineStr">
        <is>
          <t>56*29*32</t>
        </is>
      </c>
    </row>
    <row r="11">
      <c r="A11" s="14" t="inlineStr">
        <is>
          <t>FT2</t>
        </is>
      </c>
      <c r="B11" s="14" t="inlineStr">
        <is>
          <t>BOB</t>
        </is>
      </c>
      <c r="C11" s="14" t="inlineStr">
        <is>
          <t>Cooling Waterproof mattress protector</t>
        </is>
      </c>
      <c r="D11" s="14" t="inlineStr">
        <is>
          <t>Mattress Protector</t>
        </is>
      </c>
      <c r="E11" s="14" t="inlineStr">
        <is>
          <t>SPLIT HEAD KING</t>
        </is>
      </c>
      <c r="F11" s="14" t="inlineStr">
        <is>
          <t>GPFRIOMP79</t>
        </is>
      </c>
      <c r="G11" s="14" t="inlineStr">
        <is>
          <t>10001731009</t>
        </is>
      </c>
      <c r="H11" s="14" t="inlineStr">
        <is>
          <t>White</t>
        </is>
      </c>
      <c r="I11" s="15" t="n">
        <v>76</v>
      </c>
      <c r="J11" s="15" t="n">
        <v>80</v>
      </c>
      <c r="K11" s="15" t="n">
        <v>17</v>
      </c>
      <c r="L11" s="15" t="inlineStr">
        <is>
          <t>76.0x80.0x17.0"</t>
        </is>
      </c>
      <c r="M11" s="14" t="inlineStr">
        <is>
          <t>26.50x55.00CM</t>
        </is>
      </c>
      <c r="N11" s="14" t="inlineStr">
        <is>
          <t>26.50X26.50+7.00CM</t>
        </is>
      </c>
      <c r="O11" s="14" t="inlineStr">
        <is>
          <t>25.5X26X6.2CM</t>
        </is>
      </c>
      <c r="P11" s="14" t="n"/>
      <c r="Q11" s="14" t="n">
        <v>8</v>
      </c>
      <c r="R11" s="14" t="inlineStr">
        <is>
          <t>56*29*30</t>
        </is>
      </c>
    </row>
    <row r="12">
      <c r="A12" s="12" t="inlineStr">
        <is>
          <t>FT4</t>
        </is>
      </c>
      <c r="B12" s="12" t="inlineStr">
        <is>
          <t>BOB</t>
        </is>
      </c>
      <c r="C12" s="12" t="inlineStr">
        <is>
          <t>Poly terry Waterproof mattress protector</t>
        </is>
      </c>
      <c r="D12" s="12" t="inlineStr">
        <is>
          <t>Mattress Protector</t>
        </is>
      </c>
      <c r="E12" s="12" t="inlineStr">
        <is>
          <t>TWIN</t>
        </is>
      </c>
      <c r="F12" s="12" t="inlineStr">
        <is>
          <t>GPMP33</t>
        </is>
      </c>
      <c r="G12" s="12" t="inlineStr"/>
      <c r="H12" s="12" t="inlineStr">
        <is>
          <t>White</t>
        </is>
      </c>
      <c r="I12" s="13" t="n">
        <v>39</v>
      </c>
      <c r="J12" s="13" t="n">
        <v>75</v>
      </c>
      <c r="K12" s="13" t="n">
        <v>18</v>
      </c>
      <c r="L12" s="13" t="inlineStr">
        <is>
          <t>39.0x75.0x18.0"</t>
        </is>
      </c>
      <c r="M12" s="12" t="inlineStr">
        <is>
          <t>52.60x27.00CM</t>
        </is>
      </c>
      <c r="N12" s="12" t="inlineStr">
        <is>
          <t>28.00X28.00+5.00CM</t>
        </is>
      </c>
      <c r="O12" s="12" t="inlineStr">
        <is>
          <t>27X27.5X4.2cm</t>
        </is>
      </c>
      <c r="P12" s="12" t="n"/>
      <c r="Q12" s="12" t="inlineStr"/>
      <c r="R12" s="12" t="inlineStr"/>
    </row>
    <row r="13">
      <c r="A13" s="14" t="inlineStr">
        <is>
          <t>FT4</t>
        </is>
      </c>
      <c r="B13" s="14" t="inlineStr">
        <is>
          <t>BOB</t>
        </is>
      </c>
      <c r="C13" s="14" t="inlineStr">
        <is>
          <t>Poly terry Waterproof mattress protector</t>
        </is>
      </c>
      <c r="D13" s="14" t="inlineStr">
        <is>
          <t>Mattress Protector</t>
        </is>
      </c>
      <c r="E13" s="14" t="inlineStr">
        <is>
          <t>TWIN XL</t>
        </is>
      </c>
      <c r="F13" s="14" t="inlineStr">
        <is>
          <t>GPMP38</t>
        </is>
      </c>
      <c r="G13" s="14" t="inlineStr"/>
      <c r="H13" s="14" t="inlineStr">
        <is>
          <t>White</t>
        </is>
      </c>
      <c r="I13" s="15" t="n">
        <v>39</v>
      </c>
      <c r="J13" s="15" t="n">
        <v>80</v>
      </c>
      <c r="K13" s="15" t="n">
        <v>18</v>
      </c>
      <c r="L13" s="15" t="inlineStr">
        <is>
          <t>39.0x80.0x18.0"</t>
        </is>
      </c>
      <c r="M13" s="14" t="inlineStr">
        <is>
          <t>52.60x27.00CM</t>
        </is>
      </c>
      <c r="N13" s="14" t="inlineStr">
        <is>
          <t>28.00X28.00+5.00CM</t>
        </is>
      </c>
      <c r="O13" s="14" t="inlineStr">
        <is>
          <t>27X27.5X4.2cm</t>
        </is>
      </c>
      <c r="P13" s="14" t="n"/>
      <c r="Q13" s="14" t="inlineStr"/>
      <c r="R13" s="14" t="inlineStr"/>
    </row>
    <row r="14">
      <c r="A14" s="12" t="inlineStr">
        <is>
          <t>FT4</t>
        </is>
      </c>
      <c r="B14" s="12" t="inlineStr">
        <is>
          <t>BOB</t>
        </is>
      </c>
      <c r="C14" s="12" t="inlineStr">
        <is>
          <t>Poly terry Waterproof mattress protector</t>
        </is>
      </c>
      <c r="D14" s="12" t="inlineStr">
        <is>
          <t>Mattress Protector</t>
        </is>
      </c>
      <c r="E14" s="12" t="inlineStr">
        <is>
          <t>FULL</t>
        </is>
      </c>
      <c r="F14" s="12" t="inlineStr">
        <is>
          <t>GPMP46</t>
        </is>
      </c>
      <c r="G14" s="12" t="inlineStr"/>
      <c r="H14" s="12" t="inlineStr">
        <is>
          <t>White</t>
        </is>
      </c>
      <c r="I14" s="13" t="n">
        <v>54</v>
      </c>
      <c r="J14" s="13" t="n">
        <v>75</v>
      </c>
      <c r="K14" s="13" t="n">
        <v>18</v>
      </c>
      <c r="L14" s="13" t="inlineStr">
        <is>
          <t>54.0x75.0x18.0"</t>
        </is>
      </c>
      <c r="M14" s="12" t="inlineStr">
        <is>
          <t>54.60x27.00CM</t>
        </is>
      </c>
      <c r="N14" s="12" t="inlineStr">
        <is>
          <t>28.00X28.00+7.00CM</t>
        </is>
      </c>
      <c r="O14" s="12" t="inlineStr">
        <is>
          <t>27X27.5X6.2cm</t>
        </is>
      </c>
      <c r="P14" s="12" t="n"/>
      <c r="Q14" s="12" t="inlineStr"/>
      <c r="R14" s="12" t="inlineStr"/>
    </row>
    <row r="15">
      <c r="A15" s="14" t="inlineStr">
        <is>
          <t>FT4</t>
        </is>
      </c>
      <c r="B15" s="14" t="inlineStr">
        <is>
          <t>BOB</t>
        </is>
      </c>
      <c r="C15" s="14" t="inlineStr">
        <is>
          <t>Poly terry Waterproof mattress protector</t>
        </is>
      </c>
      <c r="D15" s="14" t="inlineStr">
        <is>
          <t>Mattress Protector</t>
        </is>
      </c>
      <c r="E15" s="14" t="inlineStr">
        <is>
          <t>FULL XL</t>
        </is>
      </c>
      <c r="F15" s="14" t="inlineStr">
        <is>
          <t>GPMP80</t>
        </is>
      </c>
      <c r="G15" s="14" t="inlineStr"/>
      <c r="H15" s="14" t="inlineStr">
        <is>
          <t>White</t>
        </is>
      </c>
      <c r="I15" s="15" t="n">
        <v>54</v>
      </c>
      <c r="J15" s="15" t="n">
        <v>80</v>
      </c>
      <c r="K15" s="15" t="n">
        <v>18</v>
      </c>
      <c r="L15" s="15" t="inlineStr">
        <is>
          <t>54.0x80.0x18.0"</t>
        </is>
      </c>
      <c r="M15" s="14" t="inlineStr">
        <is>
          <t>54.60x27.00CM</t>
        </is>
      </c>
      <c r="N15" s="14" t="inlineStr">
        <is>
          <t>28.00X28.00+7.00CM</t>
        </is>
      </c>
      <c r="O15" s="14" t="inlineStr">
        <is>
          <t>27X27.5X6.2cm</t>
        </is>
      </c>
      <c r="P15" s="14" t="n"/>
      <c r="Q15" s="14" t="inlineStr"/>
      <c r="R15" s="14" t="inlineStr"/>
    </row>
    <row r="16">
      <c r="A16" s="12" t="inlineStr">
        <is>
          <t>FT4</t>
        </is>
      </c>
      <c r="B16" s="12" t="inlineStr">
        <is>
          <t>BOB</t>
        </is>
      </c>
      <c r="C16" s="12" t="inlineStr">
        <is>
          <t>Poly terry Waterproof mattress protector</t>
        </is>
      </c>
      <c r="D16" s="12" t="inlineStr">
        <is>
          <t>Mattress Protector</t>
        </is>
      </c>
      <c r="E16" s="12" t="inlineStr">
        <is>
          <t>QUEEN</t>
        </is>
      </c>
      <c r="F16" s="12" t="inlineStr">
        <is>
          <t>GPMP50</t>
        </is>
      </c>
      <c r="G16" s="12" t="inlineStr"/>
      <c r="H16" s="12" t="inlineStr">
        <is>
          <t>White</t>
        </is>
      </c>
      <c r="I16" s="13" t="n">
        <v>60</v>
      </c>
      <c r="J16" s="13" t="n">
        <v>80</v>
      </c>
      <c r="K16" s="13" t="n">
        <v>18</v>
      </c>
      <c r="L16" s="13" t="inlineStr">
        <is>
          <t>60.0x80.0x18.0"</t>
        </is>
      </c>
      <c r="M16" s="12" t="inlineStr">
        <is>
          <t>54.60x27.00CM</t>
        </is>
      </c>
      <c r="N16" s="12" t="inlineStr">
        <is>
          <t>28.00X28.00+7.00CM</t>
        </is>
      </c>
      <c r="O16" s="12" t="inlineStr">
        <is>
          <t>27X27.5X6.2cm</t>
        </is>
      </c>
      <c r="P16" s="12" t="n"/>
      <c r="Q16" s="12" t="inlineStr"/>
      <c r="R16" s="12" t="inlineStr"/>
    </row>
    <row r="17">
      <c r="A17" s="14" t="inlineStr">
        <is>
          <t>FT4</t>
        </is>
      </c>
      <c r="B17" s="14" t="inlineStr">
        <is>
          <t>BOB</t>
        </is>
      </c>
      <c r="C17" s="14" t="inlineStr">
        <is>
          <t>Poly terry Waterproof mattress protector</t>
        </is>
      </c>
      <c r="D17" s="14" t="inlineStr">
        <is>
          <t>Mattress Protector</t>
        </is>
      </c>
      <c r="E17" s="14" t="inlineStr">
        <is>
          <t>KING</t>
        </is>
      </c>
      <c r="F17" s="14" t="inlineStr">
        <is>
          <t>GPMP78</t>
        </is>
      </c>
      <c r="G17" s="14" t="inlineStr"/>
      <c r="H17" s="14" t="inlineStr">
        <is>
          <t>White</t>
        </is>
      </c>
      <c r="I17" s="15" t="n">
        <v>78</v>
      </c>
      <c r="J17" s="15" t="n">
        <v>80</v>
      </c>
      <c r="K17" s="15" t="n">
        <v>18</v>
      </c>
      <c r="L17" s="15" t="inlineStr">
        <is>
          <t>78.0x80.0x18.0"</t>
        </is>
      </c>
      <c r="M17" s="14" t="inlineStr">
        <is>
          <t>55.60x27.00CM</t>
        </is>
      </c>
      <c r="N17" s="14" t="inlineStr">
        <is>
          <t>28.00X28.00+8.00CM</t>
        </is>
      </c>
      <c r="O17" s="14" t="inlineStr">
        <is>
          <t>27X27.5X7.2cm</t>
        </is>
      </c>
      <c r="P17" s="14" t="n"/>
      <c r="Q17" s="14" t="inlineStr"/>
      <c r="R17" s="14" t="inlineStr"/>
    </row>
    <row r="18">
      <c r="A18" s="12" t="inlineStr">
        <is>
          <t>FT4</t>
        </is>
      </c>
      <c r="B18" s="12" t="inlineStr">
        <is>
          <t>BOB</t>
        </is>
      </c>
      <c r="C18" s="12" t="inlineStr">
        <is>
          <t>Poly terry Waterproof mattress protector</t>
        </is>
      </c>
      <c r="D18" s="12" t="inlineStr">
        <is>
          <t>Mattress Protector</t>
        </is>
      </c>
      <c r="E18" s="12" t="inlineStr">
        <is>
          <t>CAL KING</t>
        </is>
      </c>
      <c r="F18" s="12" t="inlineStr">
        <is>
          <t>GPMP72</t>
        </is>
      </c>
      <c r="G18" s="12" t="inlineStr"/>
      <c r="H18" s="12" t="inlineStr">
        <is>
          <t>White</t>
        </is>
      </c>
      <c r="I18" s="13" t="n">
        <v>72</v>
      </c>
      <c r="J18" s="13" t="n">
        <v>84</v>
      </c>
      <c r="K18" s="13" t="n">
        <v>18</v>
      </c>
      <c r="L18" s="13" t="inlineStr">
        <is>
          <t>72.0x84.0x18.0"</t>
        </is>
      </c>
      <c r="M18" s="12" t="inlineStr">
        <is>
          <t>55.70x27.00CM</t>
        </is>
      </c>
      <c r="N18" s="12" t="inlineStr">
        <is>
          <t>28.00X28.00+8.00CM</t>
        </is>
      </c>
      <c r="O18" s="12" t="inlineStr">
        <is>
          <t>27X27.5X6.2cm</t>
        </is>
      </c>
      <c r="P18" s="12" t="n"/>
      <c r="Q18" s="12" t="inlineStr"/>
      <c r="R18" s="12" t="inlineStr"/>
    </row>
    <row r="19">
      <c r="A19" s="14" t="inlineStr">
        <is>
          <t>FT4</t>
        </is>
      </c>
      <c r="B19" s="14" t="inlineStr">
        <is>
          <t>BOB</t>
        </is>
      </c>
      <c r="C19" s="14" t="inlineStr">
        <is>
          <t>Poly terry Waterproof mattress protector</t>
        </is>
      </c>
      <c r="D19" s="14" t="inlineStr">
        <is>
          <t>Mattress Protector</t>
        </is>
      </c>
      <c r="E19" s="14" t="inlineStr">
        <is>
          <t>SPLIT CAL KING</t>
        </is>
      </c>
      <c r="F19" s="14" t="inlineStr">
        <is>
          <t>GPMP36</t>
        </is>
      </c>
      <c r="G19" s="14" t="inlineStr"/>
      <c r="H19" s="14" t="inlineStr">
        <is>
          <t>White</t>
        </is>
      </c>
      <c r="I19" s="15" t="n">
        <v>36</v>
      </c>
      <c r="J19" s="15" t="n">
        <v>84</v>
      </c>
      <c r="K19" s="15" t="n">
        <v>18</v>
      </c>
      <c r="L19" s="15" t="inlineStr">
        <is>
          <t>36.0x84.0x18.0"</t>
        </is>
      </c>
      <c r="M19" s="14" t="inlineStr">
        <is>
          <t>52.60x27.00CM</t>
        </is>
      </c>
      <c r="N19" s="14" t="inlineStr">
        <is>
          <t>28.00X28.00+5.00CM</t>
        </is>
      </c>
      <c r="O19" s="14" t="inlineStr">
        <is>
          <t>27X27.5X4.2cm</t>
        </is>
      </c>
      <c r="P19" s="14" t="n"/>
      <c r="Q19" s="14" t="inlineStr"/>
      <c r="R19" s="14" t="inlineStr"/>
    </row>
    <row r="20">
      <c r="A20" s="12" t="inlineStr">
        <is>
          <t>FT4</t>
        </is>
      </c>
      <c r="B20" s="12" t="inlineStr">
        <is>
          <t>BOB</t>
        </is>
      </c>
      <c r="C20" s="12" t="inlineStr">
        <is>
          <t>Poly terry Waterproof mattress protector</t>
        </is>
      </c>
      <c r="D20" s="12" t="inlineStr">
        <is>
          <t>Mattress Protector</t>
        </is>
      </c>
      <c r="E20" s="12" t="inlineStr">
        <is>
          <t>SPLIT HEAD QUEEN</t>
        </is>
      </c>
      <c r="F20" s="12" t="inlineStr">
        <is>
          <t>GPMP52</t>
        </is>
      </c>
      <c r="G20" s="12" t="inlineStr"/>
      <c r="H20" s="12" t="inlineStr">
        <is>
          <t>White</t>
        </is>
      </c>
      <c r="I20" s="13" t="n">
        <v>60</v>
      </c>
      <c r="J20" s="13" t="n">
        <v>80</v>
      </c>
      <c r="K20" s="13" t="n">
        <v>18</v>
      </c>
      <c r="L20" s="13" t="inlineStr">
        <is>
          <t>60.0x80.0x18.0"</t>
        </is>
      </c>
      <c r="M20" s="12" t="inlineStr">
        <is>
          <t>54.60x27.00CM</t>
        </is>
      </c>
      <c r="N20" s="12" t="inlineStr">
        <is>
          <t>28.00X28.00+7.00CM</t>
        </is>
      </c>
      <c r="O20" s="12" t="inlineStr">
        <is>
          <t>27X27.5X6.2cm</t>
        </is>
      </c>
      <c r="P20" s="12" t="n"/>
      <c r="Q20" s="12" t="inlineStr"/>
      <c r="R20" s="12" t="inlineStr"/>
    </row>
    <row r="21">
      <c r="A21" s="14" t="inlineStr">
        <is>
          <t>FT4</t>
        </is>
      </c>
      <c r="B21" s="14" t="inlineStr">
        <is>
          <t>BOB</t>
        </is>
      </c>
      <c r="C21" s="14" t="inlineStr">
        <is>
          <t>Poly terry Waterproof mattress protector</t>
        </is>
      </c>
      <c r="D21" s="14" t="inlineStr">
        <is>
          <t>Mattress Protector</t>
        </is>
      </c>
      <c r="E21" s="14" t="inlineStr">
        <is>
          <t>SPLIT HEAD KING</t>
        </is>
      </c>
      <c r="F21" s="14" t="inlineStr">
        <is>
          <t>GPMP79</t>
        </is>
      </c>
      <c r="G21" s="14" t="inlineStr"/>
      <c r="H21" s="14" t="inlineStr">
        <is>
          <t>White</t>
        </is>
      </c>
      <c r="I21" s="15" t="n">
        <v>78</v>
      </c>
      <c r="J21" s="15" t="n">
        <v>80</v>
      </c>
      <c r="K21" s="15" t="n">
        <v>18</v>
      </c>
      <c r="L21" s="15" t="inlineStr">
        <is>
          <t>78.0x80.0x18.0"</t>
        </is>
      </c>
      <c r="M21" s="14" t="inlineStr">
        <is>
          <t>55.60x27.00CM</t>
        </is>
      </c>
      <c r="N21" s="14" t="inlineStr">
        <is>
          <t>28.00X28.00+8.00CM</t>
        </is>
      </c>
      <c r="O21" s="14" t="inlineStr">
        <is>
          <t>27X27.5X7.2cm</t>
        </is>
      </c>
      <c r="P21" s="14" t="n"/>
      <c r="Q21" s="14" t="inlineStr"/>
      <c r="R21" s="14" t="inlineStr"/>
    </row>
    <row r="22">
      <c r="A22" s="12" t="inlineStr">
        <is>
          <t>FT9</t>
        </is>
      </c>
      <c r="B22" s="12" t="inlineStr">
        <is>
          <t>BOB</t>
        </is>
      </c>
      <c r="C22" s="12" t="inlineStr">
        <is>
          <t>Poly terry waterproof total encasement protector</t>
        </is>
      </c>
      <c r="D22" s="12" t="inlineStr">
        <is>
          <t>Total Encasement</t>
        </is>
      </c>
      <c r="E22" s="12" t="inlineStr">
        <is>
          <t>TWIN</t>
        </is>
      </c>
      <c r="F22" s="12" t="inlineStr">
        <is>
          <t>GPTE33</t>
        </is>
      </c>
      <c r="G22" s="12" t="inlineStr"/>
      <c r="H22" s="12" t="inlineStr">
        <is>
          <t>White</t>
        </is>
      </c>
      <c r="I22" s="13" t="n">
        <v>39</v>
      </c>
      <c r="J22" s="13" t="n">
        <v>75</v>
      </c>
      <c r="K22" s="13" t="n">
        <v>11</v>
      </c>
      <c r="L22" s="13" t="inlineStr">
        <is>
          <t>39.0x75.0x11.0"</t>
        </is>
      </c>
      <c r="M22" s="12" t="inlineStr">
        <is>
          <t>27.00X54.10cm</t>
        </is>
      </c>
      <c r="N22" s="12" t="inlineStr">
        <is>
          <t>28X28X6.5cm</t>
        </is>
      </c>
      <c r="O22" s="12" t="inlineStr">
        <is>
          <t>27X27.5X5.7cm</t>
        </is>
      </c>
      <c r="P22" s="13" t="n">
        <v>405</v>
      </c>
      <c r="Q22" s="12" t="inlineStr"/>
      <c r="R22" s="12" t="inlineStr"/>
    </row>
    <row r="23">
      <c r="A23" s="14" t="inlineStr">
        <is>
          <t>FT9</t>
        </is>
      </c>
      <c r="B23" s="14" t="inlineStr">
        <is>
          <t>BOB</t>
        </is>
      </c>
      <c r="C23" s="14" t="inlineStr">
        <is>
          <t>Poly terry waterproof total encasement protector</t>
        </is>
      </c>
      <c r="D23" s="14" t="inlineStr">
        <is>
          <t>Total Encasement</t>
        </is>
      </c>
      <c r="E23" s="14" t="inlineStr">
        <is>
          <t>TWIN XL</t>
        </is>
      </c>
      <c r="F23" s="14" t="inlineStr">
        <is>
          <t>GPTE38</t>
        </is>
      </c>
      <c r="G23" s="14" t="inlineStr"/>
      <c r="H23" s="14" t="inlineStr">
        <is>
          <t>White</t>
        </is>
      </c>
      <c r="I23" s="15" t="n">
        <v>39</v>
      </c>
      <c r="J23" s="15" t="n">
        <v>80</v>
      </c>
      <c r="K23" s="15" t="n">
        <v>11</v>
      </c>
      <c r="L23" s="15" t="inlineStr">
        <is>
          <t>39.0x80.0x11.0"</t>
        </is>
      </c>
      <c r="M23" s="14" t="inlineStr">
        <is>
          <t>27.00X54.10cm</t>
        </is>
      </c>
      <c r="N23" s="14" t="inlineStr">
        <is>
          <t>28X28X6.5cm</t>
        </is>
      </c>
      <c r="O23" s="14" t="inlineStr">
        <is>
          <t>27X27.5X5.7cm</t>
        </is>
      </c>
      <c r="P23" s="15" t="n">
        <v>430</v>
      </c>
      <c r="Q23" s="14" t="inlineStr"/>
      <c r="R23" s="14" t="inlineStr"/>
    </row>
    <row r="24">
      <c r="A24" s="12" t="inlineStr">
        <is>
          <t>FT9</t>
        </is>
      </c>
      <c r="B24" s="12" t="inlineStr">
        <is>
          <t>BOB</t>
        </is>
      </c>
      <c r="C24" s="12" t="inlineStr">
        <is>
          <t>Poly terry waterproof total encasement protector</t>
        </is>
      </c>
      <c r="D24" s="12" t="inlineStr">
        <is>
          <t>Total Encasement</t>
        </is>
      </c>
      <c r="E24" s="12" t="inlineStr">
        <is>
          <t>FULL</t>
        </is>
      </c>
      <c r="F24" s="12" t="inlineStr">
        <is>
          <t>GPTE46</t>
        </is>
      </c>
      <c r="G24" s="12" t="inlineStr"/>
      <c r="H24" s="12" t="inlineStr">
        <is>
          <t>White</t>
        </is>
      </c>
      <c r="I24" s="13" t="n">
        <v>54</v>
      </c>
      <c r="J24" s="13" t="n">
        <v>75</v>
      </c>
      <c r="K24" s="13" t="n">
        <v>11</v>
      </c>
      <c r="L24" s="13" t="inlineStr">
        <is>
          <t>54.0x75.0x11.0"</t>
        </is>
      </c>
      <c r="M24" s="12" t="inlineStr">
        <is>
          <t>27.00X56.10cm</t>
        </is>
      </c>
      <c r="N24" s="12" t="inlineStr">
        <is>
          <t>28X28X8.5cm</t>
        </is>
      </c>
      <c r="O24" s="12" t="inlineStr">
        <is>
          <t>27X27.5X7.7cm</t>
        </is>
      </c>
      <c r="P24" s="13" t="n">
        <v>445</v>
      </c>
      <c r="Q24" s="12" t="inlineStr"/>
      <c r="R24" s="12" t="inlineStr"/>
    </row>
    <row r="25">
      <c r="A25" s="14" t="inlineStr">
        <is>
          <t>FT9</t>
        </is>
      </c>
      <c r="B25" s="14" t="inlineStr">
        <is>
          <t>BOB</t>
        </is>
      </c>
      <c r="C25" s="14" t="inlineStr">
        <is>
          <t>Poly terry waterproof total encasement protector</t>
        </is>
      </c>
      <c r="D25" s="14" t="inlineStr">
        <is>
          <t>Total Encasement</t>
        </is>
      </c>
      <c r="E25" s="14" t="inlineStr">
        <is>
          <t>FULL XL</t>
        </is>
      </c>
      <c r="F25" s="14" t="inlineStr">
        <is>
          <t>GPTE80</t>
        </is>
      </c>
      <c r="G25" s="14" t="inlineStr"/>
      <c r="H25" s="14" t="inlineStr">
        <is>
          <t>White</t>
        </is>
      </c>
      <c r="I25" s="15" t="n">
        <v>54</v>
      </c>
      <c r="J25" s="15" t="n">
        <v>80</v>
      </c>
      <c r="K25" s="15" t="n">
        <v>11</v>
      </c>
      <c r="L25" s="15" t="inlineStr">
        <is>
          <t>54.0x80.0x11.0"</t>
        </is>
      </c>
      <c r="M25" s="14" t="inlineStr">
        <is>
          <t>27.00X56.10cm</t>
        </is>
      </c>
      <c r="N25" s="14" t="inlineStr">
        <is>
          <t>28X28X8.5cm</t>
        </is>
      </c>
      <c r="O25" s="14" t="inlineStr">
        <is>
          <t>27X27.5X7.7cm</t>
        </is>
      </c>
      <c r="P25" s="15" t="n">
        <v>465</v>
      </c>
      <c r="Q25" s="14" t="inlineStr"/>
      <c r="R25" s="14" t="inlineStr"/>
    </row>
    <row r="26">
      <c r="A26" s="12" t="inlineStr">
        <is>
          <t>FT9</t>
        </is>
      </c>
      <c r="B26" s="12" t="inlineStr">
        <is>
          <t>BOB</t>
        </is>
      </c>
      <c r="C26" s="12" t="inlineStr">
        <is>
          <t>Poly terry waterproof total encasement protector</t>
        </is>
      </c>
      <c r="D26" s="12" t="inlineStr">
        <is>
          <t>Total Encasement</t>
        </is>
      </c>
      <c r="E26" s="12" t="inlineStr">
        <is>
          <t>QUEEN</t>
        </is>
      </c>
      <c r="F26" s="12" t="inlineStr">
        <is>
          <t>GPTE50</t>
        </is>
      </c>
      <c r="G26" s="12" t="inlineStr"/>
      <c r="H26" s="12" t="inlineStr">
        <is>
          <t>White</t>
        </is>
      </c>
      <c r="I26" s="13" t="n">
        <v>60</v>
      </c>
      <c r="J26" s="13" t="n">
        <v>80</v>
      </c>
      <c r="K26" s="13" t="n">
        <v>13.5</v>
      </c>
      <c r="L26" s="13" t="inlineStr">
        <is>
          <t>60.0x80.0x13.5"</t>
        </is>
      </c>
      <c r="M26" s="12" t="inlineStr">
        <is>
          <t>27.00X57.10cm</t>
        </is>
      </c>
      <c r="N26" s="12" t="inlineStr">
        <is>
          <t>28X28X9.5cm</t>
        </is>
      </c>
      <c r="O26" s="12" t="inlineStr">
        <is>
          <t>27X27.5X8.7cm</t>
        </is>
      </c>
      <c r="P26" s="13" t="n">
        <v>482</v>
      </c>
      <c r="Q26" s="12" t="inlineStr"/>
      <c r="R26" s="12" t="inlineStr"/>
    </row>
    <row r="27">
      <c r="A27" s="14" t="inlineStr">
        <is>
          <t>FT9</t>
        </is>
      </c>
      <c r="B27" s="14" t="inlineStr">
        <is>
          <t>BOB</t>
        </is>
      </c>
      <c r="C27" s="14" t="inlineStr">
        <is>
          <t>Poly terry waterproof total encasement protector</t>
        </is>
      </c>
      <c r="D27" s="14" t="inlineStr">
        <is>
          <t>Total Encasement</t>
        </is>
      </c>
      <c r="E27" s="14" t="inlineStr">
        <is>
          <t>KING</t>
        </is>
      </c>
      <c r="F27" s="14" t="inlineStr">
        <is>
          <t>GPTE78</t>
        </is>
      </c>
      <c r="G27" s="14" t="inlineStr"/>
      <c r="H27" s="14" t="inlineStr">
        <is>
          <t>White</t>
        </is>
      </c>
      <c r="I27" s="15" t="n">
        <v>78</v>
      </c>
      <c r="J27" s="15" t="n">
        <v>80</v>
      </c>
      <c r="K27" s="15" t="n">
        <v>13.5</v>
      </c>
      <c r="L27" s="15" t="inlineStr">
        <is>
          <t>78.0x80.0x13.5"</t>
        </is>
      </c>
      <c r="M27" s="14" t="inlineStr">
        <is>
          <t>27.00X58.10cm</t>
        </is>
      </c>
      <c r="N27" s="14" t="inlineStr">
        <is>
          <t>28X28X10.5cm</t>
        </is>
      </c>
      <c r="O27" s="14" t="inlineStr">
        <is>
          <t>27X27.5X9.7cm</t>
        </is>
      </c>
      <c r="P27" s="15" t="n">
        <v>528</v>
      </c>
      <c r="Q27" s="14" t="inlineStr"/>
      <c r="R27" s="14" t="inlineStr"/>
    </row>
    <row r="28">
      <c r="A28" s="12" t="inlineStr">
        <is>
          <t>FT9</t>
        </is>
      </c>
      <c r="B28" s="12" t="inlineStr">
        <is>
          <t>BOB</t>
        </is>
      </c>
      <c r="C28" s="12" t="inlineStr">
        <is>
          <t>Poly terry waterproof total encasement protector</t>
        </is>
      </c>
      <c r="D28" s="12" t="inlineStr">
        <is>
          <t>Total Encasement</t>
        </is>
      </c>
      <c r="E28" s="12" t="inlineStr">
        <is>
          <t>CAL KING</t>
        </is>
      </c>
      <c r="F28" s="12" t="inlineStr">
        <is>
          <t>GPTE72</t>
        </is>
      </c>
      <c r="G28" s="12" t="inlineStr"/>
      <c r="H28" s="12" t="inlineStr">
        <is>
          <t>White</t>
        </is>
      </c>
      <c r="I28" s="13" t="n">
        <v>72</v>
      </c>
      <c r="J28" s="13" t="n">
        <v>84</v>
      </c>
      <c r="K28" s="13" t="n">
        <v>13.5</v>
      </c>
      <c r="L28" s="13" t="inlineStr">
        <is>
          <t>72.0x84.0x13.5"</t>
        </is>
      </c>
      <c r="M28" s="12" t="inlineStr">
        <is>
          <t>27.00X58.10cm</t>
        </is>
      </c>
      <c r="N28" s="12" t="inlineStr">
        <is>
          <t>28X28X10.5cm</t>
        </is>
      </c>
      <c r="O28" s="12" t="inlineStr">
        <is>
          <t>27X27.5X9.7cm</t>
        </is>
      </c>
      <c r="P28" s="13" t="n">
        <v>533</v>
      </c>
      <c r="Q28" s="12" t="inlineStr"/>
      <c r="R28" s="12" t="inlineStr"/>
    </row>
    <row r="29">
      <c r="A29" s="14" t="inlineStr">
        <is>
          <t>FT9</t>
        </is>
      </c>
      <c r="B29" s="14" t="inlineStr">
        <is>
          <t>BOB</t>
        </is>
      </c>
      <c r="C29" s="14" t="inlineStr">
        <is>
          <t>Poly terry waterproof total encasement protector</t>
        </is>
      </c>
      <c r="D29" s="14" t="inlineStr">
        <is>
          <t>Total Encasement</t>
        </is>
      </c>
      <c r="E29" s="14" t="inlineStr">
        <is>
          <t>SP CAL KING</t>
        </is>
      </c>
      <c r="F29" s="14" t="inlineStr">
        <is>
          <t>GPTE36</t>
        </is>
      </c>
      <c r="G29" s="14" t="inlineStr"/>
      <c r="H29" s="14" t="inlineStr">
        <is>
          <t>White</t>
        </is>
      </c>
      <c r="I29" s="15" t="n">
        <v>36</v>
      </c>
      <c r="J29" s="15" t="n">
        <v>84</v>
      </c>
      <c r="K29" s="15" t="n">
        <v>13.5</v>
      </c>
      <c r="L29" s="15" t="inlineStr">
        <is>
          <t>36.0x84.0x13.5"</t>
        </is>
      </c>
      <c r="M29" s="14" t="inlineStr">
        <is>
          <t>27.00X54.10cm</t>
        </is>
      </c>
      <c r="N29" s="14" t="inlineStr">
        <is>
          <t>28X28X6.5cm</t>
        </is>
      </c>
      <c r="O29" s="14" t="inlineStr">
        <is>
          <t>27X27.5X5.7cm</t>
        </is>
      </c>
      <c r="P29" s="15" t="n">
        <v>441</v>
      </c>
      <c r="Q29" s="14" t="inlineStr"/>
      <c r="R29" s="14" t="inlineStr"/>
    </row>
    <row r="30">
      <c r="A30" s="12" t="inlineStr">
        <is>
          <t>FT9</t>
        </is>
      </c>
      <c r="B30" s="12" t="inlineStr">
        <is>
          <t>BOB</t>
        </is>
      </c>
      <c r="C30" s="12" t="inlineStr">
        <is>
          <t>Poly terry waterproof total encasement protector</t>
        </is>
      </c>
      <c r="D30" s="12" t="inlineStr">
        <is>
          <t>Total Encasement</t>
        </is>
      </c>
      <c r="E30" s="12" t="inlineStr">
        <is>
          <t>SPLIT HEAD QUEEN</t>
        </is>
      </c>
      <c r="F30" s="12" t="inlineStr">
        <is>
          <t>GPTE52</t>
        </is>
      </c>
      <c r="G30" s="12" t="inlineStr">
        <is>
          <t>10001727013</t>
        </is>
      </c>
      <c r="H30" s="12" t="inlineStr">
        <is>
          <t>White</t>
        </is>
      </c>
      <c r="I30" s="13" t="n">
        <v>60</v>
      </c>
      <c r="J30" s="13" t="n">
        <v>80</v>
      </c>
      <c r="K30" s="13" t="n">
        <v>13.5</v>
      </c>
      <c r="L30" s="13" t="inlineStr">
        <is>
          <t>60.0x80.0x13.5"</t>
        </is>
      </c>
      <c r="M30" s="12" t="inlineStr">
        <is>
          <t>27.00X57.10cm</t>
        </is>
      </c>
      <c r="N30" s="12" t="inlineStr">
        <is>
          <t>28X28X9.5cm</t>
        </is>
      </c>
      <c r="O30" s="12" t="inlineStr">
        <is>
          <t>27X27.5X8.7cm</t>
        </is>
      </c>
      <c r="P30" s="13" t="n">
        <v>482</v>
      </c>
      <c r="Q30" s="12" t="n">
        <v>10</v>
      </c>
      <c r="R30" s="12" t="inlineStr">
        <is>
          <t>58*28.5*49</t>
        </is>
      </c>
    </row>
    <row r="31">
      <c r="A31" s="14" t="inlineStr">
        <is>
          <t>FT9</t>
        </is>
      </c>
      <c r="B31" s="14" t="inlineStr">
        <is>
          <t>BOB</t>
        </is>
      </c>
      <c r="C31" s="14" t="inlineStr">
        <is>
          <t>Poly terry waterproof total encasement protector</t>
        </is>
      </c>
      <c r="D31" s="14" t="inlineStr">
        <is>
          <t>Total Encasement</t>
        </is>
      </c>
      <c r="E31" s="14" t="inlineStr">
        <is>
          <t>SPLIT HEAD KING</t>
        </is>
      </c>
      <c r="F31" s="14" t="inlineStr">
        <is>
          <t>GPTE79</t>
        </is>
      </c>
      <c r="G31" s="14" t="inlineStr">
        <is>
          <t>10001727007</t>
        </is>
      </c>
      <c r="H31" s="14" t="inlineStr">
        <is>
          <t>White</t>
        </is>
      </c>
      <c r="I31" s="15" t="n">
        <v>78</v>
      </c>
      <c r="J31" s="15" t="n">
        <v>80</v>
      </c>
      <c r="K31" s="15" t="n">
        <v>13.5</v>
      </c>
      <c r="L31" s="15" t="inlineStr">
        <is>
          <t>78.0x80.0x13.5"</t>
        </is>
      </c>
      <c r="M31" s="14" t="inlineStr">
        <is>
          <t>27.00X58.10cm</t>
        </is>
      </c>
      <c r="N31" s="14" t="inlineStr">
        <is>
          <t>28X28X10.5cm</t>
        </is>
      </c>
      <c r="O31" s="14" t="inlineStr">
        <is>
          <t>27X27.5X9.7cm</t>
        </is>
      </c>
      <c r="P31" s="15" t="n">
        <v>528</v>
      </c>
      <c r="Q31" s="14" t="n">
        <v>8</v>
      </c>
      <c r="R31" s="14" t="inlineStr">
        <is>
          <t>58*28.5*43</t>
        </is>
      </c>
    </row>
    <row r="32">
      <c r="A32" s="12" t="inlineStr">
        <is>
          <t>FT9</t>
        </is>
      </c>
      <c r="B32" s="12" t="inlineStr">
        <is>
          <t>BOB</t>
        </is>
      </c>
      <c r="C32" s="12" t="inlineStr">
        <is>
          <t>Poly terry waterproof total encasement protector</t>
        </is>
      </c>
      <c r="D32" s="12" t="inlineStr">
        <is>
          <t>Sleeper Encasement</t>
        </is>
      </c>
      <c r="E32" s="12" t="inlineStr">
        <is>
          <t>SLEEPER - TWIN</t>
        </is>
      </c>
      <c r="F32" s="12" t="inlineStr">
        <is>
          <t>GPSE33</t>
        </is>
      </c>
      <c r="G32" s="12" t="inlineStr"/>
      <c r="H32" s="12" t="inlineStr">
        <is>
          <t>White</t>
        </is>
      </c>
      <c r="I32" s="13" t="n">
        <v>34</v>
      </c>
      <c r="J32" s="13" t="n">
        <v>73</v>
      </c>
      <c r="K32" s="13" t="n">
        <v>5</v>
      </c>
      <c r="L32" s="13" t="inlineStr">
        <is>
          <t>34.0x73.0x5.0"</t>
        </is>
      </c>
      <c r="M32" s="12" t="inlineStr">
        <is>
          <t>27.00X54.70cm</t>
        </is>
      </c>
      <c r="N32" s="12" t="inlineStr">
        <is>
          <t>28X28X5cm(est)</t>
        </is>
      </c>
      <c r="O32" s="12" t="inlineStr">
        <is>
          <t>27X27.5X4.5cm</t>
        </is>
      </c>
      <c r="P32" s="13" t="n">
        <v>405</v>
      </c>
      <c r="Q32" s="12" t="inlineStr"/>
      <c r="R32" s="12" t="inlineStr"/>
    </row>
    <row r="33">
      <c r="A33" s="14" t="inlineStr">
        <is>
          <t>FT9</t>
        </is>
      </c>
      <c r="B33" s="14" t="inlineStr">
        <is>
          <t>BOB</t>
        </is>
      </c>
      <c r="C33" s="14" t="inlineStr">
        <is>
          <t>Poly terry waterproof total encasement protector</t>
        </is>
      </c>
      <c r="D33" s="14" t="inlineStr">
        <is>
          <t>Sleeper Encasement</t>
        </is>
      </c>
      <c r="E33" s="14" t="inlineStr">
        <is>
          <t>SLEEPER - FULL</t>
        </is>
      </c>
      <c r="F33" s="14" t="inlineStr">
        <is>
          <t>GPSE46</t>
        </is>
      </c>
      <c r="G33" s="14" t="inlineStr"/>
      <c r="H33" s="14" t="inlineStr">
        <is>
          <t>White</t>
        </is>
      </c>
      <c r="I33" s="15" t="n">
        <v>54</v>
      </c>
      <c r="J33" s="15" t="n">
        <v>73</v>
      </c>
      <c r="K33" s="15" t="n">
        <v>5</v>
      </c>
      <c r="L33" s="15" t="inlineStr">
        <is>
          <t>54.0x73.0x5.0"</t>
        </is>
      </c>
      <c r="M33" s="14" t="inlineStr">
        <is>
          <t>27.00X54.70cm</t>
        </is>
      </c>
      <c r="N33" s="14" t="inlineStr">
        <is>
          <t>28X28X7cm</t>
        </is>
      </c>
      <c r="O33" s="14" t="inlineStr">
        <is>
          <t>27X27.5X6.5cm</t>
        </is>
      </c>
      <c r="P33" s="15" t="n">
        <v>445</v>
      </c>
      <c r="Q33" s="14" t="inlineStr"/>
      <c r="R33" s="14" t="inlineStr"/>
    </row>
    <row r="34">
      <c r="A34" s="12" t="inlineStr">
        <is>
          <t>FT9</t>
        </is>
      </c>
      <c r="B34" s="12" t="inlineStr">
        <is>
          <t>BOB</t>
        </is>
      </c>
      <c r="C34" s="12" t="inlineStr">
        <is>
          <t>Poly terry waterproof total encasement protector</t>
        </is>
      </c>
      <c r="D34" s="12" t="inlineStr">
        <is>
          <t>Sleeper Encasement</t>
        </is>
      </c>
      <c r="E34" s="12" t="inlineStr">
        <is>
          <t>SLEEPER - QUEEN</t>
        </is>
      </c>
      <c r="F34" s="12" t="inlineStr">
        <is>
          <t>GPSE50</t>
        </is>
      </c>
      <c r="G34" s="12" t="inlineStr"/>
      <c r="H34" s="12" t="inlineStr">
        <is>
          <t>White</t>
        </is>
      </c>
      <c r="I34" s="13" t="n">
        <v>59</v>
      </c>
      <c r="J34" s="13" t="n">
        <v>73</v>
      </c>
      <c r="K34" s="13" t="n">
        <v>5</v>
      </c>
      <c r="L34" s="13" t="inlineStr">
        <is>
          <t>59.0x73.0x5.0"</t>
        </is>
      </c>
      <c r="M34" s="12" t="inlineStr">
        <is>
          <t>27.00X54.70cm</t>
        </is>
      </c>
      <c r="N34" s="12" t="inlineStr">
        <is>
          <t>28X28X7cm</t>
        </is>
      </c>
      <c r="O34" s="12" t="inlineStr">
        <is>
          <t>27X27.5X6.5cm</t>
        </is>
      </c>
      <c r="P34" s="13" t="n">
        <v>482</v>
      </c>
      <c r="Q34" s="12" t="inlineStr"/>
      <c r="R34" s="12" t="inlineStr"/>
    </row>
    <row r="35">
      <c r="A35" s="14" t="inlineStr">
        <is>
          <t>FT4</t>
        </is>
      </c>
      <c r="B35" s="14" t="inlineStr">
        <is>
          <t>Bob's Pillow</t>
        </is>
      </c>
      <c r="C35" s="14" t="inlineStr">
        <is>
          <t>Pillow Protector</t>
        </is>
      </c>
      <c r="D35" s="14" t="inlineStr">
        <is>
          <t>Pillow Protector</t>
        </is>
      </c>
      <c r="E35" s="14" t="inlineStr">
        <is>
          <t>QUEEN</t>
        </is>
      </c>
      <c r="F35" s="14" t="inlineStr">
        <is>
          <t>GPPPQ</t>
        </is>
      </c>
      <c r="G35" s="14" t="inlineStr">
        <is>
          <t>GPPPQ</t>
        </is>
      </c>
      <c r="H35" s="14" t="inlineStr">
        <is>
          <t>White</t>
        </is>
      </c>
      <c r="I35" s="15" t="n">
        <v>31</v>
      </c>
      <c r="J35" s="15" t="n">
        <v>21</v>
      </c>
      <c r="K35" s="14" t="n"/>
      <c r="L35" s="15" t="inlineStr">
        <is>
          <t>31x21"</t>
        </is>
      </c>
      <c r="M35" s="14" t="inlineStr">
        <is>
          <t>21cmx34.50cm</t>
        </is>
      </c>
      <c r="N35" s="14" t="inlineStr">
        <is>
          <t>23cmx28cm</t>
        </is>
      </c>
      <c r="O35" s="14" t="inlineStr">
        <is>
          <t>23cmx28cm</t>
        </is>
      </c>
      <c r="P35" s="15" t="n">
        <v>155</v>
      </c>
      <c r="Q35" s="14" t="n">
        <v>24</v>
      </c>
      <c r="R35" s="14" t="inlineStr">
        <is>
          <t>47.0*28.0*25.0</t>
        </is>
      </c>
    </row>
    <row r="36">
      <c r="A36" s="12" t="inlineStr">
        <is>
          <t>FT4</t>
        </is>
      </c>
      <c r="B36" s="12" t="inlineStr">
        <is>
          <t>Bob's Pillow</t>
        </is>
      </c>
      <c r="C36" s="12" t="inlineStr">
        <is>
          <t>Pillow Protector</t>
        </is>
      </c>
      <c r="D36" s="12" t="inlineStr">
        <is>
          <t>Pillow Protector</t>
        </is>
      </c>
      <c r="E36" s="12" t="inlineStr">
        <is>
          <t>KING</t>
        </is>
      </c>
      <c r="F36" s="12" t="inlineStr">
        <is>
          <t>GPPPK</t>
        </is>
      </c>
      <c r="G36" s="12" t="inlineStr">
        <is>
          <t>GPPPK</t>
        </is>
      </c>
      <c r="H36" s="12" t="inlineStr">
        <is>
          <t>White</t>
        </is>
      </c>
      <c r="I36" s="13" t="n">
        <v>37</v>
      </c>
      <c r="J36" s="13" t="n">
        <v>21</v>
      </c>
      <c r="K36" s="12" t="n"/>
      <c r="L36" s="13" t="inlineStr">
        <is>
          <t>37x21"</t>
        </is>
      </c>
      <c r="M36" s="12" t="inlineStr">
        <is>
          <t>21cmx34.50cm</t>
        </is>
      </c>
      <c r="N36" s="12" t="inlineStr">
        <is>
          <t>23cmx28cm</t>
        </is>
      </c>
      <c r="O36" s="12" t="inlineStr">
        <is>
          <t>23cmx28cm</t>
        </is>
      </c>
      <c r="P36" s="13" t="n">
        <v>175</v>
      </c>
      <c r="Q36" s="12" t="n">
        <v>24</v>
      </c>
      <c r="R36" s="12" t="inlineStr">
        <is>
          <t>47.0*28.0*25.0</t>
        </is>
      </c>
    </row>
    <row r="37">
      <c r="A37" s="14" t="inlineStr">
        <is>
          <t>FT2</t>
        </is>
      </c>
      <c r="B37" s="14" t="inlineStr">
        <is>
          <t>Bob's Pillow</t>
        </is>
      </c>
      <c r="C37" s="14" t="inlineStr">
        <is>
          <t>Pillow Protector</t>
        </is>
      </c>
      <c r="D37" s="14" t="inlineStr">
        <is>
          <t>Pillow Protector</t>
        </is>
      </c>
      <c r="E37" s="14" t="inlineStr">
        <is>
          <t>QUEEN</t>
        </is>
      </c>
      <c r="F37" s="14" t="inlineStr">
        <is>
          <t>GPFRIOPPQ</t>
        </is>
      </c>
      <c r="G37" s="14" t="inlineStr">
        <is>
          <t>GPFRIOPPQ</t>
        </is>
      </c>
      <c r="H37" s="14" t="inlineStr">
        <is>
          <t>White</t>
        </is>
      </c>
      <c r="I37" s="15" t="n">
        <v>31</v>
      </c>
      <c r="J37" s="15" t="n">
        <v>21</v>
      </c>
      <c r="K37" s="14" t="n"/>
      <c r="L37" s="15" t="inlineStr">
        <is>
          <t>31x21"</t>
        </is>
      </c>
      <c r="M37" s="14" t="inlineStr">
        <is>
          <t>21cmx34.50cm</t>
        </is>
      </c>
      <c r="N37" s="14" t="inlineStr">
        <is>
          <t>23cmx28cm</t>
        </is>
      </c>
      <c r="O37" s="14" t="inlineStr">
        <is>
          <t>23cmx28cm</t>
        </is>
      </c>
      <c r="P37" s="15" t="n">
        <v>155</v>
      </c>
      <c r="Q37" s="14" t="n">
        <v>24</v>
      </c>
      <c r="R37" s="14" t="inlineStr">
        <is>
          <t>47.0*28.0*25.0</t>
        </is>
      </c>
    </row>
    <row r="38">
      <c r="A38" s="12" t="inlineStr">
        <is>
          <t>FT2</t>
        </is>
      </c>
      <c r="B38" s="12" t="inlineStr">
        <is>
          <t>Bob's Pillow</t>
        </is>
      </c>
      <c r="C38" s="12" t="inlineStr">
        <is>
          <t>Pillow Protector</t>
        </is>
      </c>
      <c r="D38" s="12" t="inlineStr">
        <is>
          <t>Pillow Protector</t>
        </is>
      </c>
      <c r="E38" s="12" t="inlineStr">
        <is>
          <t>KING</t>
        </is>
      </c>
      <c r="F38" s="12" t="inlineStr">
        <is>
          <t>GPFRIOPPK</t>
        </is>
      </c>
      <c r="G38" s="12" t="inlineStr">
        <is>
          <t>GPFRIOPPK</t>
        </is>
      </c>
      <c r="H38" s="12" t="inlineStr">
        <is>
          <t>White</t>
        </is>
      </c>
      <c r="I38" s="13" t="n">
        <v>37</v>
      </c>
      <c r="J38" s="13" t="n">
        <v>21</v>
      </c>
      <c r="K38" s="12" t="n"/>
      <c r="L38" s="13" t="inlineStr">
        <is>
          <t>37x21"</t>
        </is>
      </c>
      <c r="M38" s="12" t="inlineStr">
        <is>
          <t>21cmx34.50cm</t>
        </is>
      </c>
      <c r="N38" s="12" t="inlineStr">
        <is>
          <t>23cmx28cm</t>
        </is>
      </c>
      <c r="O38" s="12" t="inlineStr">
        <is>
          <t>23cmx28cm</t>
        </is>
      </c>
      <c r="P38" s="13" t="n">
        <v>175</v>
      </c>
      <c r="Q38" s="12" t="n">
        <v>24</v>
      </c>
      <c r="R38" s="12" t="inlineStr">
        <is>
          <t>47.0*28.0*25.0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S1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6" customWidth="1" min="5" max="5"/>
    <col width="10" customWidth="1" min="6" max="6"/>
    <col width="36" customWidth="1" min="7" max="7"/>
    <col width="15" customWidth="1" min="8" max="8"/>
    <col width="13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4" customWidth="1" min="16" max="16"/>
    <col width="14" customWidth="1" min="17" max="17"/>
    <col width="12" customWidth="1" min="18" max="18"/>
    <col width="12" customWidth="1" min="19" max="19"/>
  </cols>
  <sheetData>
    <row r="1" ht="34" customHeight="1">
      <c r="A1" s="9" t="inlineStr">
        <is>
          <t>tech_pack_code</t>
        </is>
      </c>
      <c r="B1" s="9" t="inlineStr">
        <is>
          <t>item_code</t>
        </is>
      </c>
      <c r="C1" s="9" t="inlineStr">
        <is>
          <t>size</t>
        </is>
      </c>
      <c r="D1" s="9" t="inlineStr">
        <is>
          <t>product_size</t>
        </is>
      </c>
      <c r="E1" s="9" t="inlineStr">
        <is>
          <t>component_type</t>
        </is>
      </c>
      <c r="F1" s="9" t="inlineStr">
        <is>
          <t>direction</t>
        </is>
      </c>
      <c r="G1" s="9" t="inlineStr">
        <is>
          <t>fabric_type</t>
        </is>
      </c>
      <c r="H1" s="9" t="inlineStr">
        <is>
          <t>construction</t>
        </is>
      </c>
      <c r="I1" s="11" t="inlineStr">
        <is>
          <t>yarn_count</t>
        </is>
      </c>
      <c r="J1" s="11" t="inlineStr">
        <is>
          <t>composition</t>
        </is>
      </c>
      <c r="K1" s="9" t="inlineStr">
        <is>
          <t>gsm</t>
        </is>
      </c>
      <c r="L1" s="11" t="inlineStr">
        <is>
          <t>finish</t>
        </is>
      </c>
      <c r="M1" s="9" t="inlineStr">
        <is>
          <t>color</t>
        </is>
      </c>
      <c r="N1" s="10" t="inlineStr">
        <is>
          <t>width_cm</t>
        </is>
      </c>
      <c r="O1" s="10" t="inlineStr">
        <is>
          <t>consumption_per_unit</t>
        </is>
      </c>
      <c r="P1" s="10" t="inlineStr">
        <is>
          <t>wastage_percent</t>
        </is>
      </c>
      <c r="Q1" s="9" t="inlineStr">
        <is>
          <t>total_required</t>
        </is>
      </c>
      <c r="R1" s="11" t="inlineStr">
        <is>
          <t>supplier</t>
        </is>
      </c>
      <c r="S1" s="11" t="inlineStr">
        <is>
          <t>remarks</t>
        </is>
      </c>
    </row>
    <row r="2">
      <c r="A2" s="12" t="inlineStr">
        <is>
          <t>FT2</t>
        </is>
      </c>
      <c r="B2" s="12" t="inlineStr">
        <is>
          <t>GPFRIOMP33</t>
        </is>
      </c>
      <c r="C2" s="12" t="inlineStr">
        <is>
          <t>TWIN</t>
        </is>
      </c>
      <c r="D2" s="13" t="inlineStr">
        <is>
          <t>39.0x75.0x14.5"</t>
        </is>
      </c>
      <c r="E2" s="12" t="inlineStr">
        <is>
          <t>Platform</t>
        </is>
      </c>
      <c r="F2" s="13" t="inlineStr">
        <is>
          <t>WXL</t>
        </is>
      </c>
      <c r="G2" s="12" t="inlineStr">
        <is>
          <t>140gsm - 100% Nylon mica fiber jersey knitted fabric</t>
        </is>
      </c>
      <c r="H2" s="12" t="n"/>
      <c r="I2" s="12" t="inlineStr"/>
      <c r="J2" s="12" t="inlineStr">
        <is>
          <t>Nylon</t>
        </is>
      </c>
      <c r="K2" s="12" t="n">
        <v>140</v>
      </c>
      <c r="L2" s="12" t="inlineStr">
        <is>
          <t>A) 0.02mmTPU PU Coating in White Color  B)  SILVADUR (TM) 930 Antimicrobial ‐ PRN 98‐10</t>
        </is>
      </c>
      <c r="M2" s="12" t="inlineStr"/>
      <c r="N2" s="13" t="n">
        <v>200</v>
      </c>
      <c r="O2" s="13" t="n">
        <v>0.98</v>
      </c>
      <c r="P2" s="13" t="n">
        <v>6</v>
      </c>
      <c r="Q2" s="16">
        <f>IFERROR(O2*(1+P2/100)*VLOOKUP(B2,'1. Articles (SKUs)'!F:R,13,FALSE),"")</f>
        <v/>
      </c>
      <c r="R2" s="12" t="inlineStr"/>
      <c r="S2" s="12" t="inlineStr"/>
    </row>
    <row r="3">
      <c r="A3" s="14" t="inlineStr">
        <is>
          <t>FT2</t>
        </is>
      </c>
      <c r="B3" s="14" t="inlineStr">
        <is>
          <t>GPFRIOMP33</t>
        </is>
      </c>
      <c r="C3" s="14" t="inlineStr">
        <is>
          <t>TWIN</t>
        </is>
      </c>
      <c r="D3" s="15" t="inlineStr">
        <is>
          <t>39.0x75.0x14.5"</t>
        </is>
      </c>
      <c r="E3" s="14" t="inlineStr">
        <is>
          <t>Skirt</t>
        </is>
      </c>
      <c r="F3" s="15" t="inlineStr">
        <is>
          <t>LXW</t>
        </is>
      </c>
      <c r="G3" s="14" t="inlineStr">
        <is>
          <t>70gsm - 100% Polyester interlock knitted fabric in white</t>
        </is>
      </c>
      <c r="H3" s="14" t="n"/>
      <c r="I3" s="14" t="inlineStr"/>
      <c r="J3" s="14" t="inlineStr">
        <is>
          <t>100% Polyester</t>
        </is>
      </c>
      <c r="K3" s="14" t="n">
        <v>70</v>
      </c>
      <c r="L3" s="14" t="inlineStr">
        <is>
          <t>Silvadur TM 930</t>
        </is>
      </c>
      <c r="M3" s="14" t="inlineStr">
        <is>
          <t>White</t>
        </is>
      </c>
      <c r="N3" s="15" t="n">
        <v>190</v>
      </c>
      <c r="O3" s="15" t="n">
        <v>1.18</v>
      </c>
      <c r="P3" s="15" t="n">
        <v>6</v>
      </c>
      <c r="Q3" s="17">
        <f>IFERROR(O3*(1+P3/100)*VLOOKUP(B3,'1. Articles (SKUs)'!F:R,13,FALSE),"")</f>
        <v/>
      </c>
      <c r="R3" s="14" t="inlineStr"/>
      <c r="S3" s="14" t="inlineStr"/>
    </row>
    <row r="4">
      <c r="A4" s="12" t="inlineStr">
        <is>
          <t>FT2</t>
        </is>
      </c>
      <c r="B4" s="12" t="inlineStr">
        <is>
          <t>GPFRIOMP33</t>
        </is>
      </c>
      <c r="C4" s="12" t="inlineStr">
        <is>
          <t>TWIN</t>
        </is>
      </c>
      <c r="D4" s="13" t="inlineStr">
        <is>
          <t>39.0x75.0x14.5"</t>
        </is>
      </c>
      <c r="E4" s="12" t="inlineStr">
        <is>
          <t>Binding</t>
        </is>
      </c>
      <c r="F4" s="13" t="inlineStr">
        <is>
          <t>WXL</t>
        </is>
      </c>
      <c r="G4" s="12" t="inlineStr">
        <is>
          <t>70gsm - 100% Polyester Plain weave woven fabric in white color</t>
        </is>
      </c>
      <c r="H4" s="12" t="n"/>
      <c r="I4" s="12" t="inlineStr"/>
      <c r="J4" s="12" t="inlineStr">
        <is>
          <t>100% Polyester</t>
        </is>
      </c>
      <c r="K4" s="12" t="n">
        <v>70</v>
      </c>
      <c r="L4" s="12" t="inlineStr"/>
      <c r="M4" s="12" t="inlineStr">
        <is>
          <t>White</t>
        </is>
      </c>
      <c r="N4" s="13" t="n">
        <v>180</v>
      </c>
      <c r="O4" s="13" t="n">
        <v>0.13</v>
      </c>
      <c r="P4" s="13" t="n">
        <v>6</v>
      </c>
      <c r="Q4" s="16">
        <f>IFERROR(O4*(1+P4/100)*VLOOKUP(B4,'1. Articles (SKUs)'!F:R,13,FALSE),"")</f>
        <v/>
      </c>
      <c r="R4" s="12" t="inlineStr"/>
      <c r="S4" s="12" t="inlineStr"/>
    </row>
    <row r="5">
      <c r="A5" s="14" t="inlineStr">
        <is>
          <t>FT2</t>
        </is>
      </c>
      <c r="B5" s="14" t="inlineStr">
        <is>
          <t>GPFRIOMP38</t>
        </is>
      </c>
      <c r="C5" s="14" t="inlineStr">
        <is>
          <t>TWIN XL</t>
        </is>
      </c>
      <c r="D5" s="15" t="inlineStr">
        <is>
          <t>39.0x80.0x15.5"</t>
        </is>
      </c>
      <c r="E5" s="14" t="inlineStr">
        <is>
          <t>Platform</t>
        </is>
      </c>
      <c r="F5" s="15" t="inlineStr">
        <is>
          <t>WXL</t>
        </is>
      </c>
      <c r="G5" s="14" t="inlineStr">
        <is>
          <t>140gsm - 100% Nylon mica fiber jersey knitted fabric</t>
        </is>
      </c>
      <c r="H5" s="14" t="n"/>
      <c r="I5" s="14" t="inlineStr"/>
      <c r="J5" s="14" t="inlineStr">
        <is>
          <t>Nylon</t>
        </is>
      </c>
      <c r="K5" s="14" t="n">
        <v>140</v>
      </c>
      <c r="L5" s="14" t="inlineStr">
        <is>
          <t>A) 0.02mmTPU PU Coating in White Color  B)  SILVADUR (TM) 930 Antimicrobial ‐ PRN 98‐10</t>
        </is>
      </c>
      <c r="M5" s="14" t="inlineStr"/>
      <c r="N5" s="15" t="n">
        <v>200</v>
      </c>
      <c r="O5" s="15" t="n">
        <v>1.04</v>
      </c>
      <c r="P5" s="15" t="n">
        <v>6</v>
      </c>
      <c r="Q5" s="17">
        <f>IFERROR(O5*(1+P5/100)*VLOOKUP(B5,'1. Articles (SKUs)'!F:R,13,FALSE),"")</f>
        <v/>
      </c>
      <c r="R5" s="14" t="inlineStr"/>
      <c r="S5" s="14" t="inlineStr"/>
    </row>
    <row r="6">
      <c r="A6" s="12" t="inlineStr">
        <is>
          <t>FT2</t>
        </is>
      </c>
      <c r="B6" s="12" t="inlineStr">
        <is>
          <t>GPFRIOMP38</t>
        </is>
      </c>
      <c r="C6" s="12" t="inlineStr">
        <is>
          <t>TWIN XL</t>
        </is>
      </c>
      <c r="D6" s="13" t="inlineStr">
        <is>
          <t>39.0x80.0x15.5"</t>
        </is>
      </c>
      <c r="E6" s="12" t="inlineStr">
        <is>
          <t>Skirt</t>
        </is>
      </c>
      <c r="F6" s="13" t="inlineStr">
        <is>
          <t>LXW</t>
        </is>
      </c>
      <c r="G6" s="12" t="inlineStr">
        <is>
          <t>70gsm - 100% Polyester interlock knitted fabric in white</t>
        </is>
      </c>
      <c r="H6" s="12" t="n"/>
      <c r="I6" s="12" t="inlineStr"/>
      <c r="J6" s="12" t="inlineStr">
        <is>
          <t>100% Polyester</t>
        </is>
      </c>
      <c r="K6" s="12" t="n">
        <v>70</v>
      </c>
      <c r="L6" s="12" t="inlineStr">
        <is>
          <t>Silvadur TM 930</t>
        </is>
      </c>
      <c r="M6" s="12" t="inlineStr">
        <is>
          <t>White</t>
        </is>
      </c>
      <c r="N6" s="13" t="n">
        <v>190</v>
      </c>
      <c r="O6" s="13" t="n">
        <v>1.23</v>
      </c>
      <c r="P6" s="13" t="n">
        <v>6</v>
      </c>
      <c r="Q6" s="16">
        <f>IFERROR(O6*(1+P6/100)*VLOOKUP(B6,'1. Articles (SKUs)'!F:R,13,FALSE),"")</f>
        <v/>
      </c>
      <c r="R6" s="12" t="inlineStr"/>
      <c r="S6" s="12" t="inlineStr"/>
    </row>
    <row r="7">
      <c r="A7" s="14" t="inlineStr">
        <is>
          <t>FT2</t>
        </is>
      </c>
      <c r="B7" s="14" t="inlineStr">
        <is>
          <t>GPFRIOMP38</t>
        </is>
      </c>
      <c r="C7" s="14" t="inlineStr">
        <is>
          <t>TWIN XL</t>
        </is>
      </c>
      <c r="D7" s="15" t="inlineStr">
        <is>
          <t>39.0x80.0x15.5"</t>
        </is>
      </c>
      <c r="E7" s="14" t="inlineStr">
        <is>
          <t>Binding</t>
        </is>
      </c>
      <c r="F7" s="15" t="inlineStr">
        <is>
          <t>WXL</t>
        </is>
      </c>
      <c r="G7" s="14" t="inlineStr">
        <is>
          <t>70gsm - 100% Polyester Plain weave woven fabric in white color</t>
        </is>
      </c>
      <c r="H7" s="14" t="n"/>
      <c r="I7" s="14" t="inlineStr"/>
      <c r="J7" s="14" t="inlineStr">
        <is>
          <t>100% Polyester</t>
        </is>
      </c>
      <c r="K7" s="14" t="n">
        <v>70</v>
      </c>
      <c r="L7" s="14" t="inlineStr"/>
      <c r="M7" s="14" t="inlineStr">
        <is>
          <t>White</t>
        </is>
      </c>
      <c r="N7" s="15" t="n">
        <v>180</v>
      </c>
      <c r="O7" s="15" t="n">
        <v>0.14</v>
      </c>
      <c r="P7" s="15" t="n">
        <v>6</v>
      </c>
      <c r="Q7" s="17">
        <f>IFERROR(O7*(1+P7/100)*VLOOKUP(B7,'1. Articles (SKUs)'!F:R,13,FALSE),"")</f>
        <v/>
      </c>
      <c r="R7" s="14" t="inlineStr"/>
      <c r="S7" s="14" t="inlineStr"/>
    </row>
    <row r="8">
      <c r="A8" s="12" t="inlineStr">
        <is>
          <t>FT2</t>
        </is>
      </c>
      <c r="B8" s="12" t="inlineStr">
        <is>
          <t>GPFRIOMP46</t>
        </is>
      </c>
      <c r="C8" s="12" t="inlineStr">
        <is>
          <t>FULL</t>
        </is>
      </c>
      <c r="D8" s="13" t="inlineStr">
        <is>
          <t>54.0x75.0x14.5"</t>
        </is>
      </c>
      <c r="E8" s="12" t="inlineStr">
        <is>
          <t>Platform</t>
        </is>
      </c>
      <c r="F8" s="13" t="inlineStr">
        <is>
          <t>WXL</t>
        </is>
      </c>
      <c r="G8" s="12" t="inlineStr">
        <is>
          <t>140gsm - 100% Nylon mica fiber jersey knitted fabric</t>
        </is>
      </c>
      <c r="H8" s="12" t="n"/>
      <c r="I8" s="12" t="inlineStr"/>
      <c r="J8" s="12" t="inlineStr">
        <is>
          <t>Nylon</t>
        </is>
      </c>
      <c r="K8" s="12" t="n">
        <v>140</v>
      </c>
      <c r="L8" s="12" t="inlineStr">
        <is>
          <t>A) 0.02mmTPU PU Coating in White Color  B)  SILVADUR (TM) 930 Antimicrobial ‐ PRN 98‐10</t>
        </is>
      </c>
      <c r="M8" s="12" t="inlineStr"/>
      <c r="N8" s="13" t="n">
        <v>200</v>
      </c>
      <c r="O8" s="13" t="n">
        <v>1.42</v>
      </c>
      <c r="P8" s="13" t="n">
        <v>6</v>
      </c>
      <c r="Q8" s="16">
        <f>IFERROR(O8*(1+P8/100)*VLOOKUP(B8,'1. Articles (SKUs)'!F:R,13,FALSE),"")</f>
        <v/>
      </c>
      <c r="R8" s="12" t="inlineStr"/>
      <c r="S8" s="12" t="inlineStr"/>
    </row>
    <row r="9">
      <c r="A9" s="14" t="inlineStr">
        <is>
          <t>FT2</t>
        </is>
      </c>
      <c r="B9" s="14" t="inlineStr">
        <is>
          <t>GPFRIOMP46</t>
        </is>
      </c>
      <c r="C9" s="14" t="inlineStr">
        <is>
          <t>FULL</t>
        </is>
      </c>
      <c r="D9" s="15" t="inlineStr">
        <is>
          <t>54.0x75.0x14.5"</t>
        </is>
      </c>
      <c r="E9" s="14" t="inlineStr">
        <is>
          <t>Skirt</t>
        </is>
      </c>
      <c r="F9" s="15" t="inlineStr">
        <is>
          <t>LXW</t>
        </is>
      </c>
      <c r="G9" s="14" t="inlineStr">
        <is>
          <t>70gsm - 100% Polyester interlock knitted fabric in white</t>
        </is>
      </c>
      <c r="H9" s="14" t="n"/>
      <c r="I9" s="14" t="inlineStr"/>
      <c r="J9" s="14" t="inlineStr">
        <is>
          <t>100% Polyester</t>
        </is>
      </c>
      <c r="K9" s="14" t="n">
        <v>70</v>
      </c>
      <c r="L9" s="14" t="inlineStr">
        <is>
          <t>Silvadur TM 930</t>
        </is>
      </c>
      <c r="M9" s="14" t="inlineStr">
        <is>
          <t>White</t>
        </is>
      </c>
      <c r="N9" s="15" t="n">
        <v>190</v>
      </c>
      <c r="O9" s="15" t="n">
        <v>1.33</v>
      </c>
      <c r="P9" s="15" t="n">
        <v>6</v>
      </c>
      <c r="Q9" s="17">
        <f>IFERROR(O9*(1+P9/100)*VLOOKUP(B9,'1. Articles (SKUs)'!F:R,13,FALSE),"")</f>
        <v/>
      </c>
      <c r="R9" s="14" t="inlineStr"/>
      <c r="S9" s="14" t="inlineStr"/>
    </row>
    <row r="10">
      <c r="A10" s="12" t="inlineStr">
        <is>
          <t>FT2</t>
        </is>
      </c>
      <c r="B10" s="12" t="inlineStr">
        <is>
          <t>GPFRIOMP46</t>
        </is>
      </c>
      <c r="C10" s="12" t="inlineStr">
        <is>
          <t>FULL</t>
        </is>
      </c>
      <c r="D10" s="13" t="inlineStr">
        <is>
          <t>54.0x75.0x14.5"</t>
        </is>
      </c>
      <c r="E10" s="12" t="inlineStr">
        <is>
          <t>Binding</t>
        </is>
      </c>
      <c r="F10" s="13" t="inlineStr">
        <is>
          <t>WXL</t>
        </is>
      </c>
      <c r="G10" s="12" t="inlineStr">
        <is>
          <t>70gsm - 100% Polyester Plain weave woven fabric in white color</t>
        </is>
      </c>
      <c r="H10" s="12" t="n"/>
      <c r="I10" s="12" t="inlineStr"/>
      <c r="J10" s="12" t="inlineStr">
        <is>
          <t>100% Polyester</t>
        </is>
      </c>
      <c r="K10" s="12" t="n">
        <v>70</v>
      </c>
      <c r="L10" s="12" t="inlineStr"/>
      <c r="M10" s="12" t="inlineStr">
        <is>
          <t>White</t>
        </is>
      </c>
      <c r="N10" s="13" t="n">
        <v>180</v>
      </c>
      <c r="O10" s="13" t="n">
        <v>0.15</v>
      </c>
      <c r="P10" s="13" t="n">
        <v>6</v>
      </c>
      <c r="Q10" s="16">
        <f>IFERROR(O10*(1+P10/100)*VLOOKUP(B10,'1. Articles (SKUs)'!F:R,13,FALSE),"")</f>
        <v/>
      </c>
      <c r="R10" s="12" t="inlineStr"/>
      <c r="S10" s="12" t="inlineStr"/>
    </row>
    <row r="11">
      <c r="A11" s="14" t="inlineStr">
        <is>
          <t>FT2</t>
        </is>
      </c>
      <c r="B11" s="14" t="inlineStr">
        <is>
          <t>GPFRIOMP80</t>
        </is>
      </c>
      <c r="C11" s="14" t="inlineStr">
        <is>
          <t>FULL XL</t>
        </is>
      </c>
      <c r="D11" s="15" t="inlineStr">
        <is>
          <t>54.0x80.0x114.5"</t>
        </is>
      </c>
      <c r="E11" s="14" t="inlineStr">
        <is>
          <t>Platform</t>
        </is>
      </c>
      <c r="F11" s="15" t="inlineStr">
        <is>
          <t>WXL</t>
        </is>
      </c>
      <c r="G11" s="14" t="inlineStr">
        <is>
          <t>140gsm - 100% Nylon mica fiber jersey knitted fabric</t>
        </is>
      </c>
      <c r="H11" s="14" t="n"/>
      <c r="I11" s="14" t="inlineStr"/>
      <c r="J11" s="14" t="inlineStr">
        <is>
          <t>Nylon</t>
        </is>
      </c>
      <c r="K11" s="14" t="n">
        <v>140</v>
      </c>
      <c r="L11" s="14" t="inlineStr">
        <is>
          <t>A) 0.02mmTPU PU Coating in White Color  B)  SILVADUR (TM) 930 Antimicrobial ‐ PRN 98‐10</t>
        </is>
      </c>
      <c r="M11" s="14" t="inlineStr"/>
      <c r="N11" s="15" t="n">
        <v>200</v>
      </c>
      <c r="O11" s="15" t="n">
        <v>1.09</v>
      </c>
      <c r="P11" s="15" t="n">
        <v>6</v>
      </c>
      <c r="Q11" s="17">
        <f>IFERROR(O11*(1+P11/100)*VLOOKUP(B11,'1. Articles (SKUs)'!F:R,13,FALSE),"")</f>
        <v/>
      </c>
      <c r="R11" s="14" t="inlineStr"/>
      <c r="S11" s="14" t="inlineStr"/>
    </row>
    <row r="12">
      <c r="A12" s="12" t="inlineStr">
        <is>
          <t>FT2</t>
        </is>
      </c>
      <c r="B12" s="12" t="inlineStr">
        <is>
          <t>GPFRIOMP80</t>
        </is>
      </c>
      <c r="C12" s="12" t="inlineStr">
        <is>
          <t>FULL XL</t>
        </is>
      </c>
      <c r="D12" s="13" t="inlineStr">
        <is>
          <t>54.0x80.0x114.5"</t>
        </is>
      </c>
      <c r="E12" s="12" t="inlineStr">
        <is>
          <t>Skirt</t>
        </is>
      </c>
      <c r="F12" s="13" t="inlineStr">
        <is>
          <t>LXW</t>
        </is>
      </c>
      <c r="G12" s="12" t="inlineStr">
        <is>
          <t>70gsm - 100% Polyester interlock knitted fabric in white</t>
        </is>
      </c>
      <c r="H12" s="12" t="n"/>
      <c r="I12" s="12" t="inlineStr"/>
      <c r="J12" s="12" t="inlineStr">
        <is>
          <t>100% Polyester</t>
        </is>
      </c>
      <c r="K12" s="12" t="n">
        <v>70</v>
      </c>
      <c r="L12" s="12" t="inlineStr">
        <is>
          <t>Silvadur TM 930</t>
        </is>
      </c>
      <c r="M12" s="12" t="inlineStr">
        <is>
          <t>White</t>
        </is>
      </c>
      <c r="N12" s="13" t="n">
        <v>190</v>
      </c>
      <c r="O12" s="13" t="n">
        <v>1.24</v>
      </c>
      <c r="P12" s="13" t="n">
        <v>6</v>
      </c>
      <c r="Q12" s="16">
        <f>IFERROR(O12*(1+P12/100)*VLOOKUP(B12,'1. Articles (SKUs)'!F:R,13,FALSE),"")</f>
        <v/>
      </c>
      <c r="R12" s="12" t="inlineStr"/>
      <c r="S12" s="12" t="inlineStr"/>
    </row>
    <row r="13">
      <c r="A13" s="14" t="inlineStr">
        <is>
          <t>FT2</t>
        </is>
      </c>
      <c r="B13" s="14" t="inlineStr">
        <is>
          <t>GPFRIOMP80</t>
        </is>
      </c>
      <c r="C13" s="14" t="inlineStr">
        <is>
          <t>FULL XL</t>
        </is>
      </c>
      <c r="D13" s="15" t="inlineStr">
        <is>
          <t>54.0x80.0x114.5"</t>
        </is>
      </c>
      <c r="E13" s="14" t="inlineStr">
        <is>
          <t>Binding</t>
        </is>
      </c>
      <c r="F13" s="15" t="inlineStr">
        <is>
          <t>WXL</t>
        </is>
      </c>
      <c r="G13" s="14" t="inlineStr">
        <is>
          <t>70gsm - 100% Polyester Plain weave woven fabric in white color</t>
        </is>
      </c>
      <c r="H13" s="14" t="n"/>
      <c r="I13" s="14" t="inlineStr"/>
      <c r="J13" s="14" t="inlineStr">
        <is>
          <t>100% Polyester</t>
        </is>
      </c>
      <c r="K13" s="14" t="n">
        <v>70</v>
      </c>
      <c r="L13" s="14" t="inlineStr"/>
      <c r="M13" s="14" t="inlineStr">
        <is>
          <t>White</t>
        </is>
      </c>
      <c r="N13" s="15" t="n">
        <v>180</v>
      </c>
      <c r="O13" s="15" t="n">
        <v>0.14</v>
      </c>
      <c r="P13" s="15" t="n">
        <v>6</v>
      </c>
      <c r="Q13" s="17">
        <f>IFERROR(O13*(1+P13/100)*VLOOKUP(B13,'1. Articles (SKUs)'!F:R,13,FALSE),"")</f>
        <v/>
      </c>
      <c r="R13" s="14" t="inlineStr"/>
      <c r="S13" s="14" t="inlineStr"/>
    </row>
    <row r="14">
      <c r="A14" s="12" t="inlineStr">
        <is>
          <t>FT2</t>
        </is>
      </c>
      <c r="B14" s="12" t="inlineStr">
        <is>
          <t>GPFRIOMP50</t>
        </is>
      </c>
      <c r="C14" s="12" t="inlineStr">
        <is>
          <t>QUEEN</t>
        </is>
      </c>
      <c r="D14" s="13" t="inlineStr">
        <is>
          <t>60.0x80.0x17.0"</t>
        </is>
      </c>
      <c r="E14" s="12" t="inlineStr">
        <is>
          <t>Platform</t>
        </is>
      </c>
      <c r="F14" s="13" t="inlineStr">
        <is>
          <t>WXL</t>
        </is>
      </c>
      <c r="G14" s="12" t="inlineStr">
        <is>
          <t>140gsm - 100% Nylon mica fiber jersey knitted fabric</t>
        </is>
      </c>
      <c r="H14" s="12" t="n"/>
      <c r="I14" s="12" t="inlineStr"/>
      <c r="J14" s="12" t="inlineStr">
        <is>
          <t>Nylon</t>
        </is>
      </c>
      <c r="K14" s="12" t="n">
        <v>140</v>
      </c>
      <c r="L14" s="12" t="inlineStr">
        <is>
          <t>A) 0.02mmTPU PU Coating in White Color  B)  SILVADUR (TM) 930 Antimicrobial ‐ PRN 98‐10</t>
        </is>
      </c>
      <c r="M14" s="12" t="inlineStr"/>
      <c r="N14" s="13" t="n">
        <v>200</v>
      </c>
      <c r="O14" s="13" t="n">
        <v>1.57</v>
      </c>
      <c r="P14" s="13" t="n">
        <v>6</v>
      </c>
      <c r="Q14" s="16">
        <f>IFERROR(O14*(1+P14/100)*VLOOKUP(B14,'1. Articles (SKUs)'!F:R,13,FALSE),"")</f>
        <v/>
      </c>
      <c r="R14" s="12" t="inlineStr"/>
      <c r="S14" s="12" t="inlineStr"/>
    </row>
    <row r="15">
      <c r="A15" s="14" t="inlineStr">
        <is>
          <t>FT2</t>
        </is>
      </c>
      <c r="B15" s="14" t="inlineStr">
        <is>
          <t>GPFRIOMP50</t>
        </is>
      </c>
      <c r="C15" s="14" t="inlineStr">
        <is>
          <t>QUEEN</t>
        </is>
      </c>
      <c r="D15" s="15" t="inlineStr">
        <is>
          <t>60.0x80.0x17.0"</t>
        </is>
      </c>
      <c r="E15" s="14" t="inlineStr">
        <is>
          <t>Skirt</t>
        </is>
      </c>
      <c r="F15" s="15" t="inlineStr">
        <is>
          <t>LXW</t>
        </is>
      </c>
      <c r="G15" s="14" t="inlineStr">
        <is>
          <t>70gsm - 100% Polyester interlock knitted fabric in white</t>
        </is>
      </c>
      <c r="H15" s="14" t="n"/>
      <c r="I15" s="14" t="inlineStr"/>
      <c r="J15" s="14" t="inlineStr">
        <is>
          <t>100% Polyester</t>
        </is>
      </c>
      <c r="K15" s="14" t="n">
        <v>70</v>
      </c>
      <c r="L15" s="14" t="inlineStr">
        <is>
          <t>Silvadur TM 930</t>
        </is>
      </c>
      <c r="M15" s="14" t="inlineStr">
        <is>
          <t>White</t>
        </is>
      </c>
      <c r="N15" s="15" t="n">
        <v>190</v>
      </c>
      <c r="O15" s="15" t="n">
        <v>1.8</v>
      </c>
      <c r="P15" s="15" t="n">
        <v>6</v>
      </c>
      <c r="Q15" s="17">
        <f>IFERROR(O15*(1+P15/100)*VLOOKUP(B15,'1. Articles (SKUs)'!F:R,13,FALSE),"")</f>
        <v/>
      </c>
      <c r="R15" s="14" t="inlineStr"/>
      <c r="S15" s="14" t="inlineStr"/>
    </row>
    <row r="16">
      <c r="A16" s="12" t="inlineStr">
        <is>
          <t>FT2</t>
        </is>
      </c>
      <c r="B16" s="12" t="inlineStr">
        <is>
          <t>GPFRIOMP50</t>
        </is>
      </c>
      <c r="C16" s="12" t="inlineStr">
        <is>
          <t>QUEEN</t>
        </is>
      </c>
      <c r="D16" s="13" t="inlineStr">
        <is>
          <t>60.0x80.0x17.0"</t>
        </is>
      </c>
      <c r="E16" s="12" t="inlineStr">
        <is>
          <t>Binding</t>
        </is>
      </c>
      <c r="F16" s="13" t="inlineStr">
        <is>
          <t>WXL</t>
        </is>
      </c>
      <c r="G16" s="12" t="inlineStr">
        <is>
          <t>70gsm - 100% Polyester Plain weave woven fabric in white color</t>
        </is>
      </c>
      <c r="H16" s="12" t="n"/>
      <c r="I16" s="12" t="inlineStr"/>
      <c r="J16" s="12" t="inlineStr">
        <is>
          <t>100% Polyester</t>
        </is>
      </c>
      <c r="K16" s="12" t="n">
        <v>70</v>
      </c>
      <c r="L16" s="12" t="inlineStr"/>
      <c r="M16" s="12" t="inlineStr">
        <is>
          <t>White</t>
        </is>
      </c>
      <c r="N16" s="13" t="n">
        <v>180</v>
      </c>
      <c r="O16" s="13" t="n">
        <v>0.16</v>
      </c>
      <c r="P16" s="13" t="n">
        <v>6</v>
      </c>
      <c r="Q16" s="16">
        <f>IFERROR(O16*(1+P16/100)*VLOOKUP(B16,'1. Articles (SKUs)'!F:R,13,FALSE),"")</f>
        <v/>
      </c>
      <c r="R16" s="12" t="inlineStr"/>
      <c r="S16" s="12" t="inlineStr"/>
    </row>
    <row r="17">
      <c r="A17" s="14" t="inlineStr">
        <is>
          <t>FT2</t>
        </is>
      </c>
      <c r="B17" s="14" t="inlineStr">
        <is>
          <t>GPFRIOMP78</t>
        </is>
      </c>
      <c r="C17" s="14" t="inlineStr">
        <is>
          <t>KING</t>
        </is>
      </c>
      <c r="D17" s="15" t="inlineStr">
        <is>
          <t>78.0x80.0x17.0"</t>
        </is>
      </c>
      <c r="E17" s="14" t="inlineStr">
        <is>
          <t>Platform</t>
        </is>
      </c>
      <c r="F17" s="15" t="inlineStr">
        <is>
          <t>WXL</t>
        </is>
      </c>
      <c r="G17" s="14" t="inlineStr">
        <is>
          <t>140gsm - 100% Nylon mica fiber jersey knitted fabric</t>
        </is>
      </c>
      <c r="H17" s="14" t="n"/>
      <c r="I17" s="14" t="inlineStr"/>
      <c r="J17" s="14" t="inlineStr">
        <is>
          <t>Nylon</t>
        </is>
      </c>
      <c r="K17" s="14" t="n">
        <v>140</v>
      </c>
      <c r="L17" s="14" t="inlineStr">
        <is>
          <t>A) 0.02mmTPU PU Coating in White Color  B)  SILVADUR (TM) 930 Antimicrobial ‐ PRN 98‐10</t>
        </is>
      </c>
      <c r="M17" s="14" t="inlineStr"/>
      <c r="N17" s="15" t="n">
        <v>200</v>
      </c>
      <c r="O17" s="15" t="n">
        <v>2.03</v>
      </c>
      <c r="P17" s="15" t="n">
        <v>6</v>
      </c>
      <c r="Q17" s="17">
        <f>IFERROR(O17*(1+P17/100)*VLOOKUP(B17,'1. Articles (SKUs)'!F:R,13,FALSE),"")</f>
        <v/>
      </c>
      <c r="R17" s="14" t="inlineStr"/>
      <c r="S17" s="14" t="inlineStr"/>
    </row>
    <row r="18">
      <c r="A18" s="12" t="inlineStr">
        <is>
          <t>FT2</t>
        </is>
      </c>
      <c r="B18" s="12" t="inlineStr">
        <is>
          <t>GPFRIOMP78</t>
        </is>
      </c>
      <c r="C18" s="12" t="inlineStr">
        <is>
          <t>KING</t>
        </is>
      </c>
      <c r="D18" s="13" t="inlineStr">
        <is>
          <t>78.0x80.0x17.0"</t>
        </is>
      </c>
      <c r="E18" s="12" t="inlineStr">
        <is>
          <t>Skirt</t>
        </is>
      </c>
      <c r="F18" s="13" t="inlineStr">
        <is>
          <t>LXW</t>
        </is>
      </c>
      <c r="G18" s="12" t="inlineStr">
        <is>
          <t>70gsm - 100% Polyester interlock knitted fabric in white</t>
        </is>
      </c>
      <c r="H18" s="12" t="n"/>
      <c r="I18" s="12" t="inlineStr"/>
      <c r="J18" s="12" t="inlineStr">
        <is>
          <t>100% Polyester</t>
        </is>
      </c>
      <c r="K18" s="12" t="n">
        <v>70</v>
      </c>
      <c r="L18" s="12" t="inlineStr">
        <is>
          <t>Silvadur TM 930</t>
        </is>
      </c>
      <c r="M18" s="12" t="inlineStr">
        <is>
          <t>White</t>
        </is>
      </c>
      <c r="N18" s="13" t="n">
        <v>190</v>
      </c>
      <c r="O18" s="13" t="n">
        <v>2.03</v>
      </c>
      <c r="P18" s="13" t="n">
        <v>6</v>
      </c>
      <c r="Q18" s="16">
        <f>IFERROR(O18*(1+P18/100)*VLOOKUP(B18,'1. Articles (SKUs)'!F:R,13,FALSE),"")</f>
        <v/>
      </c>
      <c r="R18" s="12" t="inlineStr"/>
      <c r="S18" s="12" t="inlineStr"/>
    </row>
    <row r="19">
      <c r="A19" s="14" t="inlineStr">
        <is>
          <t>FT2</t>
        </is>
      </c>
      <c r="B19" s="14" t="inlineStr">
        <is>
          <t>GPFRIOMP78</t>
        </is>
      </c>
      <c r="C19" s="14" t="inlineStr">
        <is>
          <t>KING</t>
        </is>
      </c>
      <c r="D19" s="15" t="inlineStr">
        <is>
          <t>78.0x80.0x17.0"</t>
        </is>
      </c>
      <c r="E19" s="14" t="inlineStr">
        <is>
          <t>Binding</t>
        </is>
      </c>
      <c r="F19" s="15" t="inlineStr">
        <is>
          <t>WXL</t>
        </is>
      </c>
      <c r="G19" s="14" t="inlineStr">
        <is>
          <t>70gsm - 100% Polyester Plain weave woven fabric in white color</t>
        </is>
      </c>
      <c r="H19" s="14" t="n"/>
      <c r="I19" s="14" t="inlineStr"/>
      <c r="J19" s="14" t="inlineStr">
        <is>
          <t>100% Polyester</t>
        </is>
      </c>
      <c r="K19" s="14" t="n">
        <v>70</v>
      </c>
      <c r="L19" s="14" t="inlineStr"/>
      <c r="M19" s="14" t="inlineStr">
        <is>
          <t>White</t>
        </is>
      </c>
      <c r="N19" s="15" t="n">
        <v>180</v>
      </c>
      <c r="O19" s="15" t="n">
        <v>0.18</v>
      </c>
      <c r="P19" s="15" t="n">
        <v>6</v>
      </c>
      <c r="Q19" s="17">
        <f>IFERROR(O19*(1+P19/100)*VLOOKUP(B19,'1. Articles (SKUs)'!F:R,13,FALSE),"")</f>
        <v/>
      </c>
      <c r="R19" s="14" t="inlineStr"/>
      <c r="S19" s="14" t="inlineStr"/>
    </row>
    <row r="20">
      <c r="A20" s="12" t="inlineStr">
        <is>
          <t>FT2</t>
        </is>
      </c>
      <c r="B20" s="12" t="inlineStr">
        <is>
          <t>GPFRIOMP72</t>
        </is>
      </c>
      <c r="C20" s="12" t="inlineStr">
        <is>
          <t>CAL KING</t>
        </is>
      </c>
      <c r="D20" s="13" t="inlineStr">
        <is>
          <t>72.0x84.0x17.0"</t>
        </is>
      </c>
      <c r="E20" s="12" t="inlineStr">
        <is>
          <t>Platform</t>
        </is>
      </c>
      <c r="F20" s="13" t="inlineStr">
        <is>
          <t>WXL</t>
        </is>
      </c>
      <c r="G20" s="12" t="inlineStr">
        <is>
          <t>140gsm - 100% Nylon mica fiber jersey knitted fabric</t>
        </is>
      </c>
      <c r="H20" s="12" t="n"/>
      <c r="I20" s="12" t="inlineStr"/>
      <c r="J20" s="12" t="inlineStr">
        <is>
          <t>Nylon</t>
        </is>
      </c>
      <c r="K20" s="12" t="n">
        <v>140</v>
      </c>
      <c r="L20" s="12" t="inlineStr">
        <is>
          <t>A) 0.02mmTPU PU Coating in White Color  B)  SILVADUR (TM) 930 Antimicrobial ‐ PRN 98‐10</t>
        </is>
      </c>
      <c r="M20" s="12" t="inlineStr"/>
      <c r="N20" s="13" t="n">
        <v>200</v>
      </c>
      <c r="O20" s="13" t="n">
        <v>2.18</v>
      </c>
      <c r="P20" s="13" t="n">
        <v>6</v>
      </c>
      <c r="Q20" s="16">
        <f>IFERROR(O20*(1+P20/100)*VLOOKUP(B20,'1. Articles (SKUs)'!F:R,13,FALSE),"")</f>
        <v/>
      </c>
      <c r="R20" s="12" t="inlineStr"/>
      <c r="S20" s="12" t="inlineStr"/>
    </row>
    <row r="21">
      <c r="A21" s="14" t="inlineStr">
        <is>
          <t>FT2</t>
        </is>
      </c>
      <c r="B21" s="14" t="inlineStr">
        <is>
          <t>GPFRIOMP72</t>
        </is>
      </c>
      <c r="C21" s="14" t="inlineStr">
        <is>
          <t>CAL KING</t>
        </is>
      </c>
      <c r="D21" s="15" t="inlineStr">
        <is>
          <t>72.0x84.0x17.0"</t>
        </is>
      </c>
      <c r="E21" s="14" t="inlineStr">
        <is>
          <t>Skirt</t>
        </is>
      </c>
      <c r="F21" s="15" t="inlineStr">
        <is>
          <t>LXW</t>
        </is>
      </c>
      <c r="G21" s="14" t="inlineStr">
        <is>
          <t>70gsm - 100% Polyester interlock knitted fabric in white</t>
        </is>
      </c>
      <c r="H21" s="14" t="n"/>
      <c r="I21" s="14" t="inlineStr"/>
      <c r="J21" s="14" t="inlineStr">
        <is>
          <t>100% Polyester</t>
        </is>
      </c>
      <c r="K21" s="14" t="n">
        <v>70</v>
      </c>
      <c r="L21" s="14" t="inlineStr">
        <is>
          <t>Silvadur TM 930</t>
        </is>
      </c>
      <c r="M21" s="14" t="inlineStr">
        <is>
          <t>White</t>
        </is>
      </c>
      <c r="N21" s="15" t="n">
        <v>190</v>
      </c>
      <c r="O21" s="15" t="n">
        <v>2.01</v>
      </c>
      <c r="P21" s="15" t="n">
        <v>6</v>
      </c>
      <c r="Q21" s="17">
        <f>IFERROR(O21*(1+P21/100)*VLOOKUP(B21,'1. Articles (SKUs)'!F:R,13,FALSE),"")</f>
        <v/>
      </c>
      <c r="R21" s="14" t="inlineStr"/>
      <c r="S21" s="14" t="inlineStr"/>
    </row>
    <row r="22">
      <c r="A22" s="12" t="inlineStr">
        <is>
          <t>FT2</t>
        </is>
      </c>
      <c r="B22" s="12" t="inlineStr">
        <is>
          <t>GPFRIOMP72</t>
        </is>
      </c>
      <c r="C22" s="12" t="inlineStr">
        <is>
          <t>CAL KING</t>
        </is>
      </c>
      <c r="D22" s="13" t="inlineStr">
        <is>
          <t>72.0x84.0x17.0"</t>
        </is>
      </c>
      <c r="E22" s="12" t="inlineStr">
        <is>
          <t>Binding</t>
        </is>
      </c>
      <c r="F22" s="13" t="inlineStr">
        <is>
          <t>WXL</t>
        </is>
      </c>
      <c r="G22" s="12" t="inlineStr">
        <is>
          <t>70gsm - 100% Polyester Plain weave woven fabric in white color</t>
        </is>
      </c>
      <c r="H22" s="12" t="n"/>
      <c r="I22" s="12" t="inlineStr"/>
      <c r="J22" s="12" t="inlineStr">
        <is>
          <t>100% Polyester</t>
        </is>
      </c>
      <c r="K22" s="12" t="n">
        <v>70</v>
      </c>
      <c r="L22" s="12" t="inlineStr"/>
      <c r="M22" s="12" t="inlineStr">
        <is>
          <t>White</t>
        </is>
      </c>
      <c r="N22" s="13" t="n">
        <v>180</v>
      </c>
      <c r="O22" s="13" t="n">
        <v>0.18</v>
      </c>
      <c r="P22" s="13" t="n">
        <v>6</v>
      </c>
      <c r="Q22" s="16">
        <f>IFERROR(O22*(1+P22/100)*VLOOKUP(B22,'1. Articles (SKUs)'!F:R,13,FALSE),"")</f>
        <v/>
      </c>
      <c r="R22" s="12" t="inlineStr"/>
      <c r="S22" s="12" t="inlineStr"/>
    </row>
    <row r="23">
      <c r="A23" s="14" t="inlineStr">
        <is>
          <t>FT2</t>
        </is>
      </c>
      <c r="B23" s="14" t="inlineStr">
        <is>
          <t>GPFRIOMP36</t>
        </is>
      </c>
      <c r="C23" s="14" t="inlineStr">
        <is>
          <t>SPLIT  CAL KING</t>
        </is>
      </c>
      <c r="D23" s="15" t="inlineStr">
        <is>
          <t>36.0x84.0x15.5"</t>
        </is>
      </c>
      <c r="E23" s="14" t="inlineStr">
        <is>
          <t>Platform</t>
        </is>
      </c>
      <c r="F23" s="15" t="inlineStr">
        <is>
          <t>WXL</t>
        </is>
      </c>
      <c r="G23" s="14" t="inlineStr">
        <is>
          <t>140gsm - 100% Nylon mica fiber jersey knitted fabric</t>
        </is>
      </c>
      <c r="H23" s="14" t="n"/>
      <c r="I23" s="14" t="inlineStr"/>
      <c r="J23" s="14" t="inlineStr"/>
      <c r="K23" s="14" t="n">
        <v>140</v>
      </c>
      <c r="L23" s="14" t="inlineStr">
        <is>
          <t>A) 0.02mmTPU PU Coating in White Color  B)  SILVADUR (TM) 930 Antimicrobial ‐ PRN 98‐10</t>
        </is>
      </c>
      <c r="M23" s="14" t="inlineStr"/>
      <c r="N23" s="14" t="n"/>
      <c r="O23" s="14" t="n"/>
      <c r="P23" s="14" t="n"/>
      <c r="Q23" s="17">
        <f>IFERROR(O23*(1+P23/100)*VLOOKUP(B23,'1. Articles (SKUs)'!F:R,13,FALSE),"")</f>
        <v/>
      </c>
      <c r="R23" s="14" t="inlineStr"/>
      <c r="S23" s="14" t="inlineStr"/>
    </row>
    <row r="24">
      <c r="A24" s="12" t="inlineStr">
        <is>
          <t>FT2</t>
        </is>
      </c>
      <c r="B24" s="12" t="inlineStr">
        <is>
          <t>GPFRIOMP36</t>
        </is>
      </c>
      <c r="C24" s="12" t="inlineStr">
        <is>
          <t>SPLIT  CAL KING</t>
        </is>
      </c>
      <c r="D24" s="13" t="inlineStr">
        <is>
          <t>36.0x84.0x15.5"</t>
        </is>
      </c>
      <c r="E24" s="12" t="inlineStr">
        <is>
          <t>Skirt</t>
        </is>
      </c>
      <c r="F24" s="13" t="inlineStr">
        <is>
          <t>LXW</t>
        </is>
      </c>
      <c r="G24" s="12" t="inlineStr">
        <is>
          <t>70gsm - 100% Polyester interlock knitted fabric in white</t>
        </is>
      </c>
      <c r="H24" s="12" t="n"/>
      <c r="I24" s="12" t="inlineStr"/>
      <c r="J24" s="12" t="inlineStr"/>
      <c r="K24" s="12" t="n">
        <v>70</v>
      </c>
      <c r="L24" s="12" t="inlineStr">
        <is>
          <t>A) 0.02mmTPU PU Coating in White Color  B)  SILVADUR (TM) 930 Antimicrobial ‐ PRN 98‐10</t>
        </is>
      </c>
      <c r="M24" s="12" t="inlineStr">
        <is>
          <t>White</t>
        </is>
      </c>
      <c r="N24" s="12" t="n"/>
      <c r="O24" s="12" t="n"/>
      <c r="P24" s="12" t="n"/>
      <c r="Q24" s="16">
        <f>IFERROR(O24*(1+P24/100)*VLOOKUP(B24,'1. Articles (SKUs)'!F:R,13,FALSE),"")</f>
        <v/>
      </c>
      <c r="R24" s="12" t="inlineStr"/>
      <c r="S24" s="12" t="inlineStr"/>
    </row>
    <row r="25">
      <c r="A25" s="14" t="inlineStr">
        <is>
          <t>FT2</t>
        </is>
      </c>
      <c r="B25" s="14" t="inlineStr">
        <is>
          <t>GPFRIOMP36</t>
        </is>
      </c>
      <c r="C25" s="14" t="inlineStr">
        <is>
          <t>SPLIT  CAL KING</t>
        </is>
      </c>
      <c r="D25" s="15" t="inlineStr">
        <is>
          <t>36.0x84.0x15.5"</t>
        </is>
      </c>
      <c r="E25" s="14" t="inlineStr">
        <is>
          <t>Binding</t>
        </is>
      </c>
      <c r="F25" s="15" t="inlineStr">
        <is>
          <t>WXL</t>
        </is>
      </c>
      <c r="G25" s="14" t="inlineStr">
        <is>
          <t>70gsm - 100% Polyester Plain weave woven fabric in white color</t>
        </is>
      </c>
      <c r="H25" s="14" t="n"/>
      <c r="I25" s="14" t="inlineStr"/>
      <c r="J25" s="14" t="inlineStr"/>
      <c r="K25" s="14" t="n">
        <v>70</v>
      </c>
      <c r="L25" s="14" t="inlineStr"/>
      <c r="M25" s="14" t="inlineStr">
        <is>
          <t>White</t>
        </is>
      </c>
      <c r="N25" s="14" t="n"/>
      <c r="O25" s="14" t="n"/>
      <c r="P25" s="14" t="n"/>
      <c r="Q25" s="17">
        <f>IFERROR(O25*(1+P25/100)*VLOOKUP(B25,'1. Articles (SKUs)'!F:R,13,FALSE),"")</f>
        <v/>
      </c>
      <c r="R25" s="14" t="inlineStr"/>
      <c r="S25" s="14" t="inlineStr"/>
    </row>
    <row r="26">
      <c r="A26" s="12" t="inlineStr">
        <is>
          <t>FT2</t>
        </is>
      </c>
      <c r="B26" s="12" t="inlineStr">
        <is>
          <t>GPFRIOMP52</t>
        </is>
      </c>
      <c r="C26" s="12" t="inlineStr">
        <is>
          <t>SPLIT HEAD QUEEN</t>
        </is>
      </c>
      <c r="D26" s="13" t="inlineStr">
        <is>
          <t>60.0x80.0x17.0"</t>
        </is>
      </c>
      <c r="E26" s="12" t="inlineStr">
        <is>
          <t>Platform</t>
        </is>
      </c>
      <c r="F26" s="13" t="inlineStr">
        <is>
          <t>WXL</t>
        </is>
      </c>
      <c r="G26" s="12" t="inlineStr">
        <is>
          <t>140gsm - 100% Nylon mica fiber jersey knitted fabric</t>
        </is>
      </c>
      <c r="H26" s="12" t="n"/>
      <c r="I26" s="12" t="inlineStr"/>
      <c r="J26" s="12" t="inlineStr">
        <is>
          <t>Nylon</t>
        </is>
      </c>
      <c r="K26" s="12" t="n">
        <v>140</v>
      </c>
      <c r="L26" s="12" t="inlineStr">
        <is>
          <t>A) 0.02mmTPU PU Coating in White Color  B)  SILVADUR (TM) 930 Antimicrobial ‐ PRN 98‐10</t>
        </is>
      </c>
      <c r="M26" s="12" t="inlineStr"/>
      <c r="N26" s="13" t="n">
        <v>200</v>
      </c>
      <c r="O26" s="13" t="n">
        <v>1.63</v>
      </c>
      <c r="P26" s="13" t="n">
        <v>6</v>
      </c>
      <c r="Q26" s="16">
        <f>IFERROR(O26*(1+P26/100)*VLOOKUP(B26,'1. Articles (SKUs)'!F:R,13,FALSE),"")</f>
        <v/>
      </c>
      <c r="R26" s="12" t="inlineStr"/>
      <c r="S26" s="12" t="inlineStr"/>
    </row>
    <row r="27">
      <c r="A27" s="14" t="inlineStr">
        <is>
          <t>FT2</t>
        </is>
      </c>
      <c r="B27" s="14" t="inlineStr">
        <is>
          <t>GPFRIOMP52</t>
        </is>
      </c>
      <c r="C27" s="14" t="inlineStr">
        <is>
          <t>SPLIT HEAD QUEEN</t>
        </is>
      </c>
      <c r="D27" s="15" t="inlineStr">
        <is>
          <t>60.0x80.0x17.0"</t>
        </is>
      </c>
      <c r="E27" s="14" t="inlineStr">
        <is>
          <t>Skirt</t>
        </is>
      </c>
      <c r="F27" s="15" t="inlineStr">
        <is>
          <t>LXW</t>
        </is>
      </c>
      <c r="G27" s="14" t="inlineStr">
        <is>
          <t>70gsm - 100% Polyester interlock knitted fabric in white</t>
        </is>
      </c>
      <c r="H27" s="14" t="n"/>
      <c r="I27" s="14" t="inlineStr"/>
      <c r="J27" s="14" t="inlineStr">
        <is>
          <t>100% Polyester</t>
        </is>
      </c>
      <c r="K27" s="14" t="n">
        <v>70</v>
      </c>
      <c r="L27" s="14" t="inlineStr">
        <is>
          <t>Silvadur TM 930</t>
        </is>
      </c>
      <c r="M27" s="14" t="inlineStr">
        <is>
          <t>White</t>
        </is>
      </c>
      <c r="N27" s="15" t="n">
        <v>190</v>
      </c>
      <c r="O27" s="15" t="n">
        <v>2.25</v>
      </c>
      <c r="P27" s="15" t="n">
        <v>6</v>
      </c>
      <c r="Q27" s="17">
        <f>IFERROR(O27*(1+P27/100)*VLOOKUP(B27,'1. Articles (SKUs)'!F:R,13,FALSE),"")</f>
        <v/>
      </c>
      <c r="R27" s="14" t="inlineStr"/>
      <c r="S27" s="14" t="inlineStr"/>
    </row>
    <row r="28">
      <c r="A28" s="12" t="inlineStr">
        <is>
          <t>FT2</t>
        </is>
      </c>
      <c r="B28" s="12" t="inlineStr">
        <is>
          <t>GPFRIOMP52</t>
        </is>
      </c>
      <c r="C28" s="12" t="inlineStr">
        <is>
          <t>SPLIT HEAD QUEEN</t>
        </is>
      </c>
      <c r="D28" s="13" t="inlineStr">
        <is>
          <t>60.0x80.0x17.0"</t>
        </is>
      </c>
      <c r="E28" s="12" t="inlineStr">
        <is>
          <t>Binding</t>
        </is>
      </c>
      <c r="F28" s="13" t="inlineStr">
        <is>
          <t>WXL</t>
        </is>
      </c>
      <c r="G28" s="12" t="inlineStr">
        <is>
          <t>70gsm - 100% Polyester Plain weave woven fabric in white color</t>
        </is>
      </c>
      <c r="H28" s="12" t="n"/>
      <c r="I28" s="12" t="inlineStr"/>
      <c r="J28" s="12" t="inlineStr">
        <is>
          <t>100% Polyester</t>
        </is>
      </c>
      <c r="K28" s="12" t="n">
        <v>70</v>
      </c>
      <c r="L28" s="12" t="inlineStr"/>
      <c r="M28" s="12" t="inlineStr">
        <is>
          <t>White</t>
        </is>
      </c>
      <c r="N28" s="13" t="n">
        <v>180</v>
      </c>
      <c r="O28" s="13" t="n">
        <v>0.21</v>
      </c>
      <c r="P28" s="13" t="n">
        <v>6</v>
      </c>
      <c r="Q28" s="16">
        <f>IFERROR(O28*(1+P28/100)*VLOOKUP(B28,'1. Articles (SKUs)'!F:R,13,FALSE),"")</f>
        <v/>
      </c>
      <c r="R28" s="12" t="inlineStr"/>
      <c r="S28" s="12" t="inlineStr"/>
    </row>
    <row r="29">
      <c r="A29" s="14" t="inlineStr">
        <is>
          <t>FT2</t>
        </is>
      </c>
      <c r="B29" s="14" t="inlineStr">
        <is>
          <t>GPFRIOMP79</t>
        </is>
      </c>
      <c r="C29" s="14" t="inlineStr">
        <is>
          <t>SPLIT HEAD KING</t>
        </is>
      </c>
      <c r="D29" s="15" t="inlineStr">
        <is>
          <t>76.0x80.0x17.0"</t>
        </is>
      </c>
      <c r="E29" s="14" t="inlineStr">
        <is>
          <t>Platform</t>
        </is>
      </c>
      <c r="F29" s="15" t="inlineStr">
        <is>
          <t>WXL</t>
        </is>
      </c>
      <c r="G29" s="14" t="inlineStr">
        <is>
          <t>140gsm - 100% Nylon mica fiber jersey knitted fabric</t>
        </is>
      </c>
      <c r="H29" s="14" t="n"/>
      <c r="I29" s="14" t="inlineStr"/>
      <c r="J29" s="14" t="inlineStr">
        <is>
          <t>Nylon</t>
        </is>
      </c>
      <c r="K29" s="14" t="n">
        <v>140</v>
      </c>
      <c r="L29" s="14" t="inlineStr">
        <is>
          <t>A) 0.02mmTPU PU Coating in White Color  B)  SILVADUR (TM) 930 Antimicrobial ‐ PRN 98‐10</t>
        </is>
      </c>
      <c r="M29" s="14" t="inlineStr"/>
      <c r="N29" s="15" t="n">
        <v>200</v>
      </c>
      <c r="O29" s="15" t="n">
        <v>2.08</v>
      </c>
      <c r="P29" s="15" t="n">
        <v>6</v>
      </c>
      <c r="Q29" s="17">
        <f>IFERROR(O29*(1+P29/100)*VLOOKUP(B29,'1. Articles (SKUs)'!F:R,13,FALSE),"")</f>
        <v/>
      </c>
      <c r="R29" s="14" t="inlineStr"/>
      <c r="S29" s="14" t="inlineStr"/>
    </row>
    <row r="30">
      <c r="A30" s="12" t="inlineStr">
        <is>
          <t>FT2</t>
        </is>
      </c>
      <c r="B30" s="12" t="inlineStr">
        <is>
          <t>GPFRIOMP79</t>
        </is>
      </c>
      <c r="C30" s="12" t="inlineStr">
        <is>
          <t>SPLIT HEAD KING</t>
        </is>
      </c>
      <c r="D30" s="13" t="inlineStr">
        <is>
          <t>76.0x80.0x17.0"</t>
        </is>
      </c>
      <c r="E30" s="12" t="inlineStr">
        <is>
          <t>Skirt</t>
        </is>
      </c>
      <c r="F30" s="13" t="inlineStr">
        <is>
          <t>LXW</t>
        </is>
      </c>
      <c r="G30" s="12" t="inlineStr">
        <is>
          <t>70gsm - 100% Polyester interlock knitted fabric in white</t>
        </is>
      </c>
      <c r="H30" s="12" t="n"/>
      <c r="I30" s="12" t="inlineStr"/>
      <c r="J30" s="12" t="inlineStr">
        <is>
          <t>100% Polyester</t>
        </is>
      </c>
      <c r="K30" s="12" t="n">
        <v>70</v>
      </c>
      <c r="L30" s="12" t="inlineStr">
        <is>
          <t>Silvadur TM 930</t>
        </is>
      </c>
      <c r="M30" s="12" t="inlineStr">
        <is>
          <t>White</t>
        </is>
      </c>
      <c r="N30" s="13" t="n">
        <v>190</v>
      </c>
      <c r="O30" s="13" t="n">
        <v>2.48</v>
      </c>
      <c r="P30" s="13" t="n">
        <v>6</v>
      </c>
      <c r="Q30" s="16">
        <f>IFERROR(O30*(1+P30/100)*VLOOKUP(B30,'1. Articles (SKUs)'!F:R,13,FALSE),"")</f>
        <v/>
      </c>
      <c r="R30" s="12" t="inlineStr"/>
      <c r="S30" s="12" t="inlineStr"/>
    </row>
    <row r="31">
      <c r="A31" s="14" t="inlineStr">
        <is>
          <t>FT2</t>
        </is>
      </c>
      <c r="B31" s="14" t="inlineStr">
        <is>
          <t>GPFRIOMP79</t>
        </is>
      </c>
      <c r="C31" s="14" t="inlineStr">
        <is>
          <t>SPLIT HEAD KING</t>
        </is>
      </c>
      <c r="D31" s="15" t="inlineStr">
        <is>
          <t>76.0x80.0x17.0"</t>
        </is>
      </c>
      <c r="E31" s="14" t="inlineStr">
        <is>
          <t>Binding</t>
        </is>
      </c>
      <c r="F31" s="15" t="inlineStr">
        <is>
          <t>WXL</t>
        </is>
      </c>
      <c r="G31" s="14" t="inlineStr">
        <is>
          <t>70gsm - 100% Polyester Plain weave woven fabric in white color</t>
        </is>
      </c>
      <c r="H31" s="14" t="n"/>
      <c r="I31" s="14" t="inlineStr"/>
      <c r="J31" s="14" t="inlineStr">
        <is>
          <t>100% Polyester</t>
        </is>
      </c>
      <c r="K31" s="14" t="n">
        <v>70</v>
      </c>
      <c r="L31" s="14" t="inlineStr"/>
      <c r="M31" s="14" t="inlineStr">
        <is>
          <t>White</t>
        </is>
      </c>
      <c r="N31" s="15" t="n">
        <v>180</v>
      </c>
      <c r="O31" s="15" t="n">
        <v>0.23</v>
      </c>
      <c r="P31" s="15" t="n">
        <v>6</v>
      </c>
      <c r="Q31" s="17">
        <f>IFERROR(O31*(1+P31/100)*VLOOKUP(B31,'1. Articles (SKUs)'!F:R,13,FALSE),"")</f>
        <v/>
      </c>
      <c r="R31" s="14" t="inlineStr"/>
      <c r="S31" s="14" t="inlineStr"/>
    </row>
    <row r="32">
      <c r="A32" s="12" t="inlineStr">
        <is>
          <t>FT4</t>
        </is>
      </c>
      <c r="B32" s="12" t="inlineStr">
        <is>
          <t>GPMP33</t>
        </is>
      </c>
      <c r="C32" s="12" t="inlineStr">
        <is>
          <t>TWIN</t>
        </is>
      </c>
      <c r="D32" s="13" t="inlineStr">
        <is>
          <t>39.0x75.0x18.0"</t>
        </is>
      </c>
      <c r="E32" s="12" t="inlineStr">
        <is>
          <t>Platform</t>
        </is>
      </c>
      <c r="F32" s="13" t="inlineStr">
        <is>
          <t>WXL</t>
        </is>
      </c>
      <c r="G32" s="12" t="inlineStr">
        <is>
          <t>110gsm - 100% Polyester terry knitted fabric with 0.02mm TPUwhite coating</t>
        </is>
      </c>
      <c r="H32" s="12" t="n"/>
      <c r="I32" s="12" t="inlineStr"/>
      <c r="J32" s="12" t="inlineStr">
        <is>
          <t>100% Polyester</t>
        </is>
      </c>
      <c r="K32" s="12" t="n">
        <v>110</v>
      </c>
      <c r="L32" s="12" t="inlineStr">
        <is>
          <t>TPU coated</t>
        </is>
      </c>
      <c r="M32" s="12" t="inlineStr">
        <is>
          <t>White</t>
        </is>
      </c>
      <c r="N32" s="13" t="n">
        <v>208</v>
      </c>
      <c r="O32" s="13" t="n">
        <v>0.98</v>
      </c>
      <c r="P32" s="13" t="n">
        <v>6</v>
      </c>
      <c r="Q32" s="16">
        <f>IFERROR(O32*(1+P32/100)*VLOOKUP(B32,'1. Articles (SKUs)'!F:R,13,FALSE),"")</f>
        <v/>
      </c>
      <c r="R32" s="12" t="inlineStr"/>
      <c r="S32" s="12" t="inlineStr"/>
    </row>
    <row r="33">
      <c r="A33" s="14" t="inlineStr">
        <is>
          <t>FT4</t>
        </is>
      </c>
      <c r="B33" s="14" t="inlineStr">
        <is>
          <t>GPMP33</t>
        </is>
      </c>
      <c r="C33" s="14" t="inlineStr">
        <is>
          <t>TWIN</t>
        </is>
      </c>
      <c r="D33" s="15" t="inlineStr">
        <is>
          <t>39.0x75.0x18.0"</t>
        </is>
      </c>
      <c r="E33" s="14" t="inlineStr">
        <is>
          <t>Skirt</t>
        </is>
      </c>
      <c r="F33" s="15" t="inlineStr">
        <is>
          <t>LXW</t>
        </is>
      </c>
      <c r="G33" s="14" t="inlineStr">
        <is>
          <t>100% Polyester mesh knitted fabric</t>
        </is>
      </c>
      <c r="H33" s="14" t="n"/>
      <c r="I33" s="14" t="inlineStr"/>
      <c r="J33" s="14" t="inlineStr">
        <is>
          <t>100% Polyester</t>
        </is>
      </c>
      <c r="K33" s="14" t="n">
        <v>70</v>
      </c>
      <c r="L33" s="14" t="inlineStr"/>
      <c r="M33" s="14" t="inlineStr"/>
      <c r="N33" s="15" t="n">
        <v>190</v>
      </c>
      <c r="O33" s="15" t="n">
        <v>1.47</v>
      </c>
      <c r="P33" s="15" t="n">
        <v>6</v>
      </c>
      <c r="Q33" s="17">
        <f>IFERROR(O33*(1+P33/100)*VLOOKUP(B33,'1. Articles (SKUs)'!F:R,13,FALSE),"")</f>
        <v/>
      </c>
      <c r="R33" s="14" t="inlineStr"/>
      <c r="S33" s="14" t="inlineStr"/>
    </row>
    <row r="34">
      <c r="A34" s="12" t="inlineStr">
        <is>
          <t>FT4</t>
        </is>
      </c>
      <c r="B34" s="12" t="inlineStr">
        <is>
          <t>GPMP33</t>
        </is>
      </c>
      <c r="C34" s="12" t="inlineStr">
        <is>
          <t>TWIN</t>
        </is>
      </c>
      <c r="D34" s="13" t="inlineStr">
        <is>
          <t>39.0x75.0x18.0"</t>
        </is>
      </c>
      <c r="E34" s="12" t="inlineStr">
        <is>
          <t>Piping</t>
        </is>
      </c>
      <c r="F34" s="13" t="inlineStr">
        <is>
          <t>WXL</t>
        </is>
      </c>
      <c r="G34" s="12" t="inlineStr">
        <is>
          <t>Piping fabric  - 100% Polyester satin fabric in silver color, Pantone Color - #14-4102TC</t>
        </is>
      </c>
      <c r="H34" s="12" t="n"/>
      <c r="I34" s="12" t="inlineStr"/>
      <c r="J34" s="12" t="inlineStr">
        <is>
          <t>100% Polyester</t>
        </is>
      </c>
      <c r="K34" s="12" t="n">
        <v>70</v>
      </c>
      <c r="L34" s="12" t="inlineStr"/>
      <c r="M34" s="12" t="inlineStr">
        <is>
          <t>Silver</t>
        </is>
      </c>
      <c r="N34" s="13" t="n">
        <v>180</v>
      </c>
      <c r="O34" s="13" t="n">
        <v>0.19</v>
      </c>
      <c r="P34" s="13" t="n">
        <v>6</v>
      </c>
      <c r="Q34" s="16">
        <f>IFERROR(O34*(1+P34/100)*VLOOKUP(B34,'1. Articles (SKUs)'!F:R,13,FALSE),"")</f>
        <v/>
      </c>
      <c r="R34" s="12" t="inlineStr"/>
      <c r="S34" s="12" t="inlineStr"/>
    </row>
    <row r="35">
      <c r="A35" s="14" t="inlineStr">
        <is>
          <t>FT4</t>
        </is>
      </c>
      <c r="B35" s="14" t="inlineStr">
        <is>
          <t>GPMP38</t>
        </is>
      </c>
      <c r="C35" s="14" t="inlineStr">
        <is>
          <t>TWIN XL</t>
        </is>
      </c>
      <c r="D35" s="15" t="inlineStr">
        <is>
          <t>39.0x80.0x18.0"</t>
        </is>
      </c>
      <c r="E35" s="14" t="inlineStr">
        <is>
          <t>Platform</t>
        </is>
      </c>
      <c r="F35" s="15" t="inlineStr">
        <is>
          <t>WXL</t>
        </is>
      </c>
      <c r="G35" s="14" t="inlineStr">
        <is>
          <t>110gsm - 100% Polyester terry knitted fabric with 0.02mm TPUwhite coating</t>
        </is>
      </c>
      <c r="H35" s="14" t="n"/>
      <c r="I35" s="14" t="inlineStr"/>
      <c r="J35" s="14" t="inlineStr">
        <is>
          <t>100% Polyester</t>
        </is>
      </c>
      <c r="K35" s="14" t="n">
        <v>110</v>
      </c>
      <c r="L35" s="14" t="inlineStr">
        <is>
          <t>TPU coated</t>
        </is>
      </c>
      <c r="M35" s="14" t="inlineStr">
        <is>
          <t>White</t>
        </is>
      </c>
      <c r="N35" s="15" t="n">
        <v>208</v>
      </c>
      <c r="O35" s="15" t="n">
        <v>1.04</v>
      </c>
      <c r="P35" s="15" t="n">
        <v>6</v>
      </c>
      <c r="Q35" s="17">
        <f>IFERROR(O35*(1+P35/100)*VLOOKUP(B35,'1. Articles (SKUs)'!F:R,13,FALSE),"")</f>
        <v/>
      </c>
      <c r="R35" s="14" t="inlineStr"/>
      <c r="S35" s="14" t="inlineStr"/>
    </row>
    <row r="36">
      <c r="A36" s="12" t="inlineStr">
        <is>
          <t>FT4</t>
        </is>
      </c>
      <c r="B36" s="12" t="inlineStr">
        <is>
          <t>GPMP38</t>
        </is>
      </c>
      <c r="C36" s="12" t="inlineStr">
        <is>
          <t>TWIN XL</t>
        </is>
      </c>
      <c r="D36" s="13" t="inlineStr">
        <is>
          <t>39.0x80.0x18.0"</t>
        </is>
      </c>
      <c r="E36" s="12" t="inlineStr">
        <is>
          <t>Skirt</t>
        </is>
      </c>
      <c r="F36" s="13" t="inlineStr">
        <is>
          <t>LXW</t>
        </is>
      </c>
      <c r="G36" s="12" t="inlineStr">
        <is>
          <t>100% Polyester mesh knitted fabric</t>
        </is>
      </c>
      <c r="H36" s="12" t="n"/>
      <c r="I36" s="12" t="inlineStr"/>
      <c r="J36" s="12" t="inlineStr">
        <is>
          <t>100% Polyester</t>
        </is>
      </c>
      <c r="K36" s="12" t="n">
        <v>70</v>
      </c>
      <c r="L36" s="12" t="inlineStr"/>
      <c r="M36" s="12" t="inlineStr"/>
      <c r="N36" s="13" t="n">
        <v>190</v>
      </c>
      <c r="O36" s="13" t="n">
        <v>1.54</v>
      </c>
      <c r="P36" s="13" t="n">
        <v>6</v>
      </c>
      <c r="Q36" s="16">
        <f>IFERROR(O36*(1+P36/100)*VLOOKUP(B36,'1. Articles (SKUs)'!F:R,13,FALSE),"")</f>
        <v/>
      </c>
      <c r="R36" s="12" t="inlineStr"/>
      <c r="S36" s="12" t="inlineStr"/>
    </row>
    <row r="37">
      <c r="A37" s="14" t="inlineStr">
        <is>
          <t>FT4</t>
        </is>
      </c>
      <c r="B37" s="14" t="inlineStr">
        <is>
          <t>GPMP38</t>
        </is>
      </c>
      <c r="C37" s="14" t="inlineStr">
        <is>
          <t>TWIN XL</t>
        </is>
      </c>
      <c r="D37" s="15" t="inlineStr">
        <is>
          <t>39.0x80.0x18.0"</t>
        </is>
      </c>
      <c r="E37" s="14" t="inlineStr">
        <is>
          <t>Piping</t>
        </is>
      </c>
      <c r="F37" s="15" t="inlineStr">
        <is>
          <t>WXL</t>
        </is>
      </c>
      <c r="G37" s="14" t="inlineStr">
        <is>
          <t>Piping fabric  - 100% Polyester satin fabric in silver color, Pantone Color - #14-4102TC</t>
        </is>
      </c>
      <c r="H37" s="14" t="n"/>
      <c r="I37" s="14" t="inlineStr"/>
      <c r="J37" s="14" t="inlineStr">
        <is>
          <t>100% Polyester</t>
        </is>
      </c>
      <c r="K37" s="14" t="n">
        <v>70</v>
      </c>
      <c r="L37" s="14" t="inlineStr"/>
      <c r="M37" s="14" t="inlineStr">
        <is>
          <t>Silver</t>
        </is>
      </c>
      <c r="N37" s="15" t="n">
        <v>180</v>
      </c>
      <c r="O37" s="15" t="n">
        <v>0.2</v>
      </c>
      <c r="P37" s="15" t="n">
        <v>6</v>
      </c>
      <c r="Q37" s="17">
        <f>IFERROR(O37*(1+P37/100)*VLOOKUP(B37,'1. Articles (SKUs)'!F:R,13,FALSE),"")</f>
        <v/>
      </c>
      <c r="R37" s="14" t="inlineStr"/>
      <c r="S37" s="14" t="inlineStr"/>
    </row>
    <row r="38">
      <c r="A38" s="12" t="inlineStr">
        <is>
          <t>FT4</t>
        </is>
      </c>
      <c r="B38" s="12" t="inlineStr">
        <is>
          <t>GPMP46</t>
        </is>
      </c>
      <c r="C38" s="12" t="inlineStr">
        <is>
          <t>FULL</t>
        </is>
      </c>
      <c r="D38" s="13" t="inlineStr">
        <is>
          <t>54.0x75.0x18.0"</t>
        </is>
      </c>
      <c r="E38" s="12" t="inlineStr">
        <is>
          <t>Platform</t>
        </is>
      </c>
      <c r="F38" s="13" t="inlineStr">
        <is>
          <t>WXL</t>
        </is>
      </c>
      <c r="G38" s="12" t="inlineStr">
        <is>
          <t>110gsm - 100% Polyester terry knitted fabric with 0.02mm TPUwhite coating</t>
        </is>
      </c>
      <c r="H38" s="12" t="n"/>
      <c r="I38" s="12" t="inlineStr"/>
      <c r="J38" s="12" t="inlineStr">
        <is>
          <t>100% Polyester</t>
        </is>
      </c>
      <c r="K38" s="12" t="n">
        <v>110</v>
      </c>
      <c r="L38" s="12" t="inlineStr">
        <is>
          <t>TPU coated</t>
        </is>
      </c>
      <c r="M38" s="12" t="inlineStr">
        <is>
          <t>White</t>
        </is>
      </c>
      <c r="N38" s="13" t="n">
        <v>208</v>
      </c>
      <c r="O38" s="13" t="n">
        <v>1.42</v>
      </c>
      <c r="P38" s="13" t="n">
        <v>6</v>
      </c>
      <c r="Q38" s="16">
        <f>IFERROR(O38*(1+P38/100)*VLOOKUP(B38,'1. Articles (SKUs)'!F:R,13,FALSE),"")</f>
        <v/>
      </c>
      <c r="R38" s="12" t="inlineStr"/>
      <c r="S38" s="12" t="inlineStr"/>
    </row>
    <row r="39">
      <c r="A39" s="14" t="inlineStr">
        <is>
          <t>FT4</t>
        </is>
      </c>
      <c r="B39" s="14" t="inlineStr">
        <is>
          <t>GPMP46</t>
        </is>
      </c>
      <c r="C39" s="14" t="inlineStr">
        <is>
          <t>FULL</t>
        </is>
      </c>
      <c r="D39" s="15" t="inlineStr">
        <is>
          <t>54.0x75.0x18.0"</t>
        </is>
      </c>
      <c r="E39" s="14" t="inlineStr">
        <is>
          <t>Skirt</t>
        </is>
      </c>
      <c r="F39" s="15" t="inlineStr">
        <is>
          <t>LXW</t>
        </is>
      </c>
      <c r="G39" s="14" t="inlineStr">
        <is>
          <t>100% Polyester mesh knitted fabric</t>
        </is>
      </c>
      <c r="H39" s="14" t="n"/>
      <c r="I39" s="14" t="inlineStr"/>
      <c r="J39" s="14" t="inlineStr">
        <is>
          <t>100% Polyester</t>
        </is>
      </c>
      <c r="K39" s="14" t="n">
        <v>70</v>
      </c>
      <c r="L39" s="14" t="inlineStr"/>
      <c r="M39" s="14" t="inlineStr"/>
      <c r="N39" s="15" t="n">
        <v>190</v>
      </c>
      <c r="O39" s="15" t="n">
        <v>1.66</v>
      </c>
      <c r="P39" s="15" t="n">
        <v>6</v>
      </c>
      <c r="Q39" s="17">
        <f>IFERROR(O39*(1+P39/100)*VLOOKUP(B39,'1. Articles (SKUs)'!F:R,13,FALSE),"")</f>
        <v/>
      </c>
      <c r="R39" s="14" t="inlineStr"/>
      <c r="S39" s="14" t="inlineStr"/>
    </row>
    <row r="40">
      <c r="A40" s="12" t="inlineStr">
        <is>
          <t>FT4</t>
        </is>
      </c>
      <c r="B40" s="12" t="inlineStr">
        <is>
          <t>GPMP46</t>
        </is>
      </c>
      <c r="C40" s="12" t="inlineStr">
        <is>
          <t>FULL</t>
        </is>
      </c>
      <c r="D40" s="13" t="inlineStr">
        <is>
          <t>54.0x75.0x18.0"</t>
        </is>
      </c>
      <c r="E40" s="12" t="inlineStr">
        <is>
          <t>Piping</t>
        </is>
      </c>
      <c r="F40" s="13" t="inlineStr">
        <is>
          <t>WXL</t>
        </is>
      </c>
      <c r="G40" s="12" t="inlineStr">
        <is>
          <t>Piping fabric  - 100% Polyester satin fabric in silver color, Pantone Color - #14-4102TC</t>
        </is>
      </c>
      <c r="H40" s="12" t="n"/>
      <c r="I40" s="12" t="inlineStr"/>
      <c r="J40" s="12" t="inlineStr">
        <is>
          <t>100% Polyester</t>
        </is>
      </c>
      <c r="K40" s="12" t="n">
        <v>70</v>
      </c>
      <c r="L40" s="12" t="inlineStr"/>
      <c r="M40" s="12" t="inlineStr">
        <is>
          <t>Silver</t>
        </is>
      </c>
      <c r="N40" s="13" t="n">
        <v>180</v>
      </c>
      <c r="O40" s="13" t="n">
        <v>0.21</v>
      </c>
      <c r="P40" s="13" t="n">
        <v>6</v>
      </c>
      <c r="Q40" s="16">
        <f>IFERROR(O40*(1+P40/100)*VLOOKUP(B40,'1. Articles (SKUs)'!F:R,13,FALSE),"")</f>
        <v/>
      </c>
      <c r="R40" s="12" t="inlineStr"/>
      <c r="S40" s="12" t="inlineStr"/>
    </row>
    <row r="41">
      <c r="A41" s="14" t="inlineStr">
        <is>
          <t>FT4</t>
        </is>
      </c>
      <c r="B41" s="14" t="inlineStr">
        <is>
          <t>GPMP80</t>
        </is>
      </c>
      <c r="C41" s="14" t="inlineStr">
        <is>
          <t>FULL XL</t>
        </is>
      </c>
      <c r="D41" s="15" t="inlineStr">
        <is>
          <t>54.0x80.0x18.0"</t>
        </is>
      </c>
      <c r="E41" s="14" t="inlineStr">
        <is>
          <t>Platform</t>
        </is>
      </c>
      <c r="F41" s="15" t="inlineStr">
        <is>
          <t>WXL</t>
        </is>
      </c>
      <c r="G41" s="14" t="inlineStr">
        <is>
          <t>110gsm - 100% Polyester terry knitted fabric with 0.02mm TPUwhite coating</t>
        </is>
      </c>
      <c r="H41" s="14" t="n"/>
      <c r="I41" s="14" t="inlineStr"/>
      <c r="J41" s="14" t="inlineStr">
        <is>
          <t>100% Polyester</t>
        </is>
      </c>
      <c r="K41" s="14" t="n">
        <v>110</v>
      </c>
      <c r="L41" s="14" t="inlineStr">
        <is>
          <t>TPU coated</t>
        </is>
      </c>
      <c r="M41" s="14" t="inlineStr">
        <is>
          <t>White</t>
        </is>
      </c>
      <c r="N41" s="15" t="n">
        <v>208</v>
      </c>
      <c r="O41" s="15" t="n">
        <v>1.09</v>
      </c>
      <c r="P41" s="15" t="n">
        <v>6</v>
      </c>
      <c r="Q41" s="17">
        <f>IFERROR(O41*(1+P41/100)*VLOOKUP(B41,'1. Articles (SKUs)'!F:R,13,FALSE),"")</f>
        <v/>
      </c>
      <c r="R41" s="14" t="inlineStr"/>
      <c r="S41" s="14" t="inlineStr"/>
    </row>
    <row r="42">
      <c r="A42" s="12" t="inlineStr">
        <is>
          <t>FT4</t>
        </is>
      </c>
      <c r="B42" s="12" t="inlineStr">
        <is>
          <t>GPMP80</t>
        </is>
      </c>
      <c r="C42" s="12" t="inlineStr">
        <is>
          <t>FULL XL</t>
        </is>
      </c>
      <c r="D42" s="13" t="inlineStr">
        <is>
          <t>54.0x80.0x18.0"</t>
        </is>
      </c>
      <c r="E42" s="12" t="inlineStr">
        <is>
          <t>Skirt</t>
        </is>
      </c>
      <c r="F42" s="13" t="inlineStr">
        <is>
          <t>LXW</t>
        </is>
      </c>
      <c r="G42" s="12" t="inlineStr">
        <is>
          <t>100% Polyester mesh knitted fabric</t>
        </is>
      </c>
      <c r="H42" s="12" t="n"/>
      <c r="I42" s="12" t="inlineStr"/>
      <c r="J42" s="12" t="inlineStr">
        <is>
          <t>100% Polyester</t>
        </is>
      </c>
      <c r="K42" s="12" t="n">
        <v>70</v>
      </c>
      <c r="L42" s="12" t="inlineStr"/>
      <c r="M42" s="12" t="inlineStr"/>
      <c r="N42" s="13" t="n">
        <v>190</v>
      </c>
      <c r="O42" s="13" t="n">
        <v>1.55</v>
      </c>
      <c r="P42" s="13" t="n">
        <v>6</v>
      </c>
      <c r="Q42" s="16">
        <f>IFERROR(O42*(1+P42/100)*VLOOKUP(B42,'1. Articles (SKUs)'!F:R,13,FALSE),"")</f>
        <v/>
      </c>
      <c r="R42" s="12" t="inlineStr"/>
      <c r="S42" s="12" t="inlineStr"/>
    </row>
    <row r="43">
      <c r="A43" s="14" t="inlineStr">
        <is>
          <t>FT4</t>
        </is>
      </c>
      <c r="B43" s="14" t="inlineStr">
        <is>
          <t>GPMP80</t>
        </is>
      </c>
      <c r="C43" s="14" t="inlineStr">
        <is>
          <t>FULL XL</t>
        </is>
      </c>
      <c r="D43" s="15" t="inlineStr">
        <is>
          <t>54.0x80.0x18.0"</t>
        </is>
      </c>
      <c r="E43" s="14" t="inlineStr">
        <is>
          <t>Piping</t>
        </is>
      </c>
      <c r="F43" s="15" t="inlineStr">
        <is>
          <t>WXL</t>
        </is>
      </c>
      <c r="G43" s="14" t="inlineStr">
        <is>
          <t>Piping fabric  - 100% Polyester satin fabric in silver color, Pantone Color - #14-4102TC</t>
        </is>
      </c>
      <c r="H43" s="14" t="n"/>
      <c r="I43" s="14" t="inlineStr"/>
      <c r="J43" s="14" t="inlineStr">
        <is>
          <t>100% Polyester</t>
        </is>
      </c>
      <c r="K43" s="14" t="n">
        <v>70</v>
      </c>
      <c r="L43" s="14" t="inlineStr"/>
      <c r="M43" s="14" t="inlineStr">
        <is>
          <t>Silver</t>
        </is>
      </c>
      <c r="N43" s="15" t="n">
        <v>180</v>
      </c>
      <c r="O43" s="15" t="n">
        <v>0.2</v>
      </c>
      <c r="P43" s="15" t="n">
        <v>6</v>
      </c>
      <c r="Q43" s="17">
        <f>IFERROR(O43*(1+P43/100)*VLOOKUP(B43,'1. Articles (SKUs)'!F:R,13,FALSE),"")</f>
        <v/>
      </c>
      <c r="R43" s="14" t="inlineStr"/>
      <c r="S43" s="14" t="inlineStr"/>
    </row>
    <row r="44">
      <c r="A44" s="12" t="inlineStr">
        <is>
          <t>FT4</t>
        </is>
      </c>
      <c r="B44" s="12" t="inlineStr">
        <is>
          <t>GPMP50</t>
        </is>
      </c>
      <c r="C44" s="12" t="inlineStr">
        <is>
          <t>QUEEN</t>
        </is>
      </c>
      <c r="D44" s="13" t="inlineStr">
        <is>
          <t>60.0x80.0x18.0"</t>
        </is>
      </c>
      <c r="E44" s="12" t="inlineStr">
        <is>
          <t>Platform</t>
        </is>
      </c>
      <c r="F44" s="13" t="inlineStr">
        <is>
          <t>WXL</t>
        </is>
      </c>
      <c r="G44" s="12" t="inlineStr">
        <is>
          <t>110gsm - 100% Polyester terry knitted fabric with 0.02mm TPUwhite coating</t>
        </is>
      </c>
      <c r="H44" s="12" t="n"/>
      <c r="I44" s="12" t="inlineStr"/>
      <c r="J44" s="12" t="inlineStr">
        <is>
          <t>100% Polyester</t>
        </is>
      </c>
      <c r="K44" s="12" t="n">
        <v>110</v>
      </c>
      <c r="L44" s="12" t="inlineStr">
        <is>
          <t>TPU coated</t>
        </is>
      </c>
      <c r="M44" s="12" t="inlineStr">
        <is>
          <t>White</t>
        </is>
      </c>
      <c r="N44" s="13" t="n">
        <v>208</v>
      </c>
      <c r="O44" s="13" t="n">
        <v>1.57</v>
      </c>
      <c r="P44" s="13" t="n">
        <v>6</v>
      </c>
      <c r="Q44" s="16">
        <f>IFERROR(O44*(1+P44/100)*VLOOKUP(B44,'1. Articles (SKUs)'!F:R,13,FALSE),"")</f>
        <v/>
      </c>
      <c r="R44" s="12" t="inlineStr"/>
      <c r="S44" s="12" t="inlineStr"/>
    </row>
    <row r="45">
      <c r="A45" s="14" t="inlineStr">
        <is>
          <t>FT4</t>
        </is>
      </c>
      <c r="B45" s="14" t="inlineStr">
        <is>
          <t>GPMP50</t>
        </is>
      </c>
      <c r="C45" s="14" t="inlineStr">
        <is>
          <t>QUEEN</t>
        </is>
      </c>
      <c r="D45" s="15" t="inlineStr">
        <is>
          <t>60.0x80.0x18.0"</t>
        </is>
      </c>
      <c r="E45" s="14" t="inlineStr">
        <is>
          <t>Skirt</t>
        </is>
      </c>
      <c r="F45" s="15" t="inlineStr">
        <is>
          <t>LXW</t>
        </is>
      </c>
      <c r="G45" s="14" t="inlineStr">
        <is>
          <t>100% Polyester mesh knitted fabric</t>
        </is>
      </c>
      <c r="H45" s="14" t="n"/>
      <c r="I45" s="14" t="inlineStr"/>
      <c r="J45" s="14" t="inlineStr">
        <is>
          <t>100% Polyester</t>
        </is>
      </c>
      <c r="K45" s="14" t="n">
        <v>70</v>
      </c>
      <c r="L45" s="14" t="inlineStr"/>
      <c r="M45" s="14" t="inlineStr"/>
      <c r="N45" s="15" t="n">
        <v>190</v>
      </c>
      <c r="O45" s="15" t="n">
        <v>1.8</v>
      </c>
      <c r="P45" s="15" t="n">
        <v>6</v>
      </c>
      <c r="Q45" s="17">
        <f>IFERROR(O45*(1+P45/100)*VLOOKUP(B45,'1. Articles (SKUs)'!F:R,13,FALSE),"")</f>
        <v/>
      </c>
      <c r="R45" s="14" t="inlineStr"/>
      <c r="S45" s="14" t="inlineStr"/>
    </row>
    <row r="46">
      <c r="A46" s="12" t="inlineStr">
        <is>
          <t>FT4</t>
        </is>
      </c>
      <c r="B46" s="12" t="inlineStr">
        <is>
          <t>GPMP50</t>
        </is>
      </c>
      <c r="C46" s="12" t="inlineStr">
        <is>
          <t>QUEEN</t>
        </is>
      </c>
      <c r="D46" s="13" t="inlineStr">
        <is>
          <t>60.0x80.0x18.0"</t>
        </is>
      </c>
      <c r="E46" s="12" t="inlineStr">
        <is>
          <t>Piping</t>
        </is>
      </c>
      <c r="F46" s="13" t="inlineStr">
        <is>
          <t>WXL</t>
        </is>
      </c>
      <c r="G46" s="12" t="inlineStr">
        <is>
          <t>Piping fabric  - 100% Polyester satin fabric in silver color, Pantone Color - #14-4102TC</t>
        </is>
      </c>
      <c r="H46" s="12" t="n"/>
      <c r="I46" s="12" t="inlineStr"/>
      <c r="J46" s="12" t="inlineStr">
        <is>
          <t>100% Polyester</t>
        </is>
      </c>
      <c r="K46" s="12" t="n">
        <v>70</v>
      </c>
      <c r="L46" s="12" t="inlineStr"/>
      <c r="M46" s="12" t="inlineStr">
        <is>
          <t>Silver</t>
        </is>
      </c>
      <c r="N46" s="13" t="n">
        <v>180</v>
      </c>
      <c r="O46" s="13" t="n">
        <v>0.23</v>
      </c>
      <c r="P46" s="13" t="n">
        <v>6</v>
      </c>
      <c r="Q46" s="16">
        <f>IFERROR(O46*(1+P46/100)*VLOOKUP(B46,'1. Articles (SKUs)'!F:R,13,FALSE),"")</f>
        <v/>
      </c>
      <c r="R46" s="12" t="inlineStr"/>
      <c r="S46" s="12" t="inlineStr"/>
    </row>
    <row r="47">
      <c r="A47" s="14" t="inlineStr">
        <is>
          <t>FT4</t>
        </is>
      </c>
      <c r="B47" s="14" t="inlineStr">
        <is>
          <t>GPMP78</t>
        </is>
      </c>
      <c r="C47" s="14" t="inlineStr">
        <is>
          <t>KING</t>
        </is>
      </c>
      <c r="D47" s="15" t="inlineStr">
        <is>
          <t>78.0x80.0x18.0"</t>
        </is>
      </c>
      <c r="E47" s="14" t="inlineStr">
        <is>
          <t>Platform</t>
        </is>
      </c>
      <c r="F47" s="15" t="inlineStr">
        <is>
          <t>WXL</t>
        </is>
      </c>
      <c r="G47" s="14" t="inlineStr">
        <is>
          <t>110gsm - 100% Polyester terry knitted fabric with 0.02mm TPUwhite coating</t>
        </is>
      </c>
      <c r="H47" s="14" t="n"/>
      <c r="I47" s="14" t="inlineStr"/>
      <c r="J47" s="14" t="inlineStr">
        <is>
          <t>100% Polyester</t>
        </is>
      </c>
      <c r="K47" s="14" t="n">
        <v>110</v>
      </c>
      <c r="L47" s="14" t="inlineStr">
        <is>
          <t>TPU coated</t>
        </is>
      </c>
      <c r="M47" s="14" t="inlineStr">
        <is>
          <t>White</t>
        </is>
      </c>
      <c r="N47" s="15" t="n">
        <v>208</v>
      </c>
      <c r="O47" s="15" t="n">
        <v>2.03</v>
      </c>
      <c r="P47" s="15" t="n">
        <v>6</v>
      </c>
      <c r="Q47" s="17">
        <f>IFERROR(O47*(1+P47/100)*VLOOKUP(B47,'1. Articles (SKUs)'!F:R,13,FALSE),"")</f>
        <v/>
      </c>
      <c r="R47" s="14" t="inlineStr"/>
      <c r="S47" s="14" t="inlineStr"/>
    </row>
    <row r="48">
      <c r="A48" s="12" t="inlineStr">
        <is>
          <t>FT4</t>
        </is>
      </c>
      <c r="B48" s="12" t="inlineStr">
        <is>
          <t>GPMP78</t>
        </is>
      </c>
      <c r="C48" s="12" t="inlineStr">
        <is>
          <t>KING</t>
        </is>
      </c>
      <c r="D48" s="13" t="inlineStr">
        <is>
          <t>78.0x80.0x18.0"</t>
        </is>
      </c>
      <c r="E48" s="12" t="inlineStr">
        <is>
          <t>Skirt</t>
        </is>
      </c>
      <c r="F48" s="13" t="inlineStr">
        <is>
          <t>LXW</t>
        </is>
      </c>
      <c r="G48" s="12" t="inlineStr">
        <is>
          <t>100% Polyester mesh knitted fabric</t>
        </is>
      </c>
      <c r="H48" s="12" t="n"/>
      <c r="I48" s="12" t="inlineStr"/>
      <c r="J48" s="12" t="inlineStr">
        <is>
          <t>100% Polyester</t>
        </is>
      </c>
      <c r="K48" s="12" t="n">
        <v>70</v>
      </c>
      <c r="L48" s="12" t="inlineStr"/>
      <c r="M48" s="12" t="inlineStr"/>
      <c r="N48" s="13" t="n">
        <v>190</v>
      </c>
      <c r="O48" s="13" t="n">
        <v>2.03</v>
      </c>
      <c r="P48" s="13" t="n">
        <v>6</v>
      </c>
      <c r="Q48" s="16">
        <f>IFERROR(O48*(1+P48/100)*VLOOKUP(B48,'1. Articles (SKUs)'!F:R,13,FALSE),"")</f>
        <v/>
      </c>
      <c r="R48" s="12" t="inlineStr"/>
      <c r="S48" s="12" t="inlineStr"/>
    </row>
    <row r="49">
      <c r="A49" s="14" t="inlineStr">
        <is>
          <t>FT4</t>
        </is>
      </c>
      <c r="B49" s="14" t="inlineStr">
        <is>
          <t>GPMP78</t>
        </is>
      </c>
      <c r="C49" s="14" t="inlineStr">
        <is>
          <t>KING</t>
        </is>
      </c>
      <c r="D49" s="15" t="inlineStr">
        <is>
          <t>78.0x80.0x18.0"</t>
        </is>
      </c>
      <c r="E49" s="14" t="inlineStr">
        <is>
          <t>Piping</t>
        </is>
      </c>
      <c r="F49" s="15" t="inlineStr">
        <is>
          <t>WXL</t>
        </is>
      </c>
      <c r="G49" s="14" t="inlineStr">
        <is>
          <t>Piping fabric  - 100% Polyester satin fabric in silver color, Pantone Color - #14-4102TC</t>
        </is>
      </c>
      <c r="H49" s="14" t="n"/>
      <c r="I49" s="14" t="inlineStr"/>
      <c r="J49" s="14" t="inlineStr">
        <is>
          <t>100% Polyester</t>
        </is>
      </c>
      <c r="K49" s="14" t="n">
        <v>70</v>
      </c>
      <c r="L49" s="14" t="inlineStr"/>
      <c r="M49" s="14" t="inlineStr">
        <is>
          <t>Silver</t>
        </is>
      </c>
      <c r="N49" s="15" t="n">
        <v>180</v>
      </c>
      <c r="O49" s="15" t="n">
        <v>0.26</v>
      </c>
      <c r="P49" s="15" t="n">
        <v>6</v>
      </c>
      <c r="Q49" s="17">
        <f>IFERROR(O49*(1+P49/100)*VLOOKUP(B49,'1. Articles (SKUs)'!F:R,13,FALSE),"")</f>
        <v/>
      </c>
      <c r="R49" s="14" t="inlineStr"/>
      <c r="S49" s="14" t="inlineStr"/>
    </row>
    <row r="50">
      <c r="A50" s="12" t="inlineStr">
        <is>
          <t>FT4</t>
        </is>
      </c>
      <c r="B50" s="12" t="inlineStr">
        <is>
          <t>GPMP72</t>
        </is>
      </c>
      <c r="C50" s="12" t="inlineStr">
        <is>
          <t>CAL KING</t>
        </is>
      </c>
      <c r="D50" s="13" t="inlineStr">
        <is>
          <t>72.0x84.0x18.0"</t>
        </is>
      </c>
      <c r="E50" s="12" t="inlineStr">
        <is>
          <t>Platform</t>
        </is>
      </c>
      <c r="F50" s="13" t="inlineStr">
        <is>
          <t>WXL</t>
        </is>
      </c>
      <c r="G50" s="12" t="inlineStr">
        <is>
          <t>110gsm - 100% Polyester terry knitted fabric with 0.02mm TPUwhite coating</t>
        </is>
      </c>
      <c r="H50" s="12" t="n"/>
      <c r="I50" s="12" t="inlineStr"/>
      <c r="J50" s="12" t="inlineStr">
        <is>
          <t>100% Polyester</t>
        </is>
      </c>
      <c r="K50" s="12" t="n">
        <v>110</v>
      </c>
      <c r="L50" s="12" t="inlineStr">
        <is>
          <t>TPU coated</t>
        </is>
      </c>
      <c r="M50" s="12" t="inlineStr">
        <is>
          <t>White</t>
        </is>
      </c>
      <c r="N50" s="13" t="n">
        <v>208</v>
      </c>
      <c r="O50" s="13" t="n">
        <v>2.18</v>
      </c>
      <c r="P50" s="13" t="n">
        <v>6</v>
      </c>
      <c r="Q50" s="16">
        <f>IFERROR(O50*(1+P50/100)*VLOOKUP(B50,'1. Articles (SKUs)'!F:R,13,FALSE),"")</f>
        <v/>
      </c>
      <c r="R50" s="12" t="inlineStr"/>
      <c r="S50" s="12" t="inlineStr"/>
    </row>
    <row r="51">
      <c r="A51" s="14" t="inlineStr">
        <is>
          <t>FT4</t>
        </is>
      </c>
      <c r="B51" s="14" t="inlineStr">
        <is>
          <t>GPMP72</t>
        </is>
      </c>
      <c r="C51" s="14" t="inlineStr">
        <is>
          <t>CAL KING</t>
        </is>
      </c>
      <c r="D51" s="15" t="inlineStr">
        <is>
          <t>72.0x84.0x18.0"</t>
        </is>
      </c>
      <c r="E51" s="14" t="inlineStr">
        <is>
          <t>Skirt</t>
        </is>
      </c>
      <c r="F51" s="15" t="inlineStr">
        <is>
          <t>LXW</t>
        </is>
      </c>
      <c r="G51" s="14" t="inlineStr">
        <is>
          <t>100% Polyester mesh knitted fabric</t>
        </is>
      </c>
      <c r="H51" s="14" t="n"/>
      <c r="I51" s="14" t="inlineStr"/>
      <c r="J51" s="14" t="inlineStr">
        <is>
          <t>100% Polyester</t>
        </is>
      </c>
      <c r="K51" s="14" t="n">
        <v>70</v>
      </c>
      <c r="L51" s="14" t="inlineStr"/>
      <c r="M51" s="14" t="inlineStr"/>
      <c r="N51" s="15" t="n">
        <v>190</v>
      </c>
      <c r="O51" s="15" t="n">
        <v>2.01</v>
      </c>
      <c r="P51" s="15" t="n">
        <v>6</v>
      </c>
      <c r="Q51" s="17">
        <f>IFERROR(O51*(1+P51/100)*VLOOKUP(B51,'1. Articles (SKUs)'!F:R,13,FALSE),"")</f>
        <v/>
      </c>
      <c r="R51" s="14" t="inlineStr"/>
      <c r="S51" s="14" t="inlineStr"/>
    </row>
    <row r="52">
      <c r="A52" s="12" t="inlineStr">
        <is>
          <t>FT4</t>
        </is>
      </c>
      <c r="B52" s="12" t="inlineStr">
        <is>
          <t>GPMP72</t>
        </is>
      </c>
      <c r="C52" s="12" t="inlineStr">
        <is>
          <t>CAL KING</t>
        </is>
      </c>
      <c r="D52" s="13" t="inlineStr">
        <is>
          <t>72.0x84.0x18.0"</t>
        </is>
      </c>
      <c r="E52" s="12" t="inlineStr">
        <is>
          <t>Piping</t>
        </is>
      </c>
      <c r="F52" s="13" t="inlineStr">
        <is>
          <t>WXL</t>
        </is>
      </c>
      <c r="G52" s="12" t="inlineStr">
        <is>
          <t>Piping fabric  - 100% Polyester satin fabric in silver color, Pantone Color - #14-4102TC</t>
        </is>
      </c>
      <c r="H52" s="12" t="n"/>
      <c r="I52" s="12" t="inlineStr"/>
      <c r="J52" s="12" t="inlineStr">
        <is>
          <t>100% Polyester</t>
        </is>
      </c>
      <c r="K52" s="12" t="n">
        <v>70</v>
      </c>
      <c r="L52" s="12" t="inlineStr"/>
      <c r="M52" s="12" t="inlineStr">
        <is>
          <t>Silver</t>
        </is>
      </c>
      <c r="N52" s="13" t="n">
        <v>180</v>
      </c>
      <c r="O52" s="13" t="n">
        <v>0.26</v>
      </c>
      <c r="P52" s="13" t="n">
        <v>6</v>
      </c>
      <c r="Q52" s="16">
        <f>IFERROR(O52*(1+P52/100)*VLOOKUP(B52,'1. Articles (SKUs)'!F:R,13,FALSE),"")</f>
        <v/>
      </c>
      <c r="R52" s="12" t="inlineStr"/>
      <c r="S52" s="12" t="inlineStr"/>
    </row>
    <row r="53">
      <c r="A53" s="14" t="inlineStr">
        <is>
          <t>FT4</t>
        </is>
      </c>
      <c r="B53" s="14" t="inlineStr">
        <is>
          <t>GPMP36</t>
        </is>
      </c>
      <c r="C53" s="14" t="inlineStr">
        <is>
          <t>SPLIT CAL KING</t>
        </is>
      </c>
      <c r="D53" s="15" t="inlineStr">
        <is>
          <t>36.0x84.0x18.0"</t>
        </is>
      </c>
      <c r="E53" s="14" t="inlineStr">
        <is>
          <t>Platform</t>
        </is>
      </c>
      <c r="F53" s="15" t="inlineStr">
        <is>
          <t>WXL</t>
        </is>
      </c>
      <c r="G53" s="14" t="inlineStr">
        <is>
          <t>110gsm - 100% Polyester terry knitted fabric with 0.02mm TPUwhite coating</t>
        </is>
      </c>
      <c r="H53" s="14" t="n"/>
      <c r="I53" s="14" t="inlineStr"/>
      <c r="J53" s="14" t="inlineStr"/>
      <c r="K53" s="14" t="n">
        <v>110</v>
      </c>
      <c r="L53" s="14" t="inlineStr">
        <is>
          <t>A) 0.02mmTPU PU Coating in White Color  B)  SILVADUR (TM) 930 Antimicrobial ‐ PRN 98‐10                                                                                      C) Wick Away Treatment on Top Platform – TK-N02</t>
        </is>
      </c>
      <c r="M53" s="14" t="inlineStr">
        <is>
          <t>White</t>
        </is>
      </c>
      <c r="N53" s="14" t="n"/>
      <c r="O53" s="14" t="n"/>
      <c r="P53" s="14" t="n"/>
      <c r="Q53" s="17">
        <f>IFERROR(O53*(1+P53/100)*VLOOKUP(B53,'1. Articles (SKUs)'!F:R,13,FALSE),"")</f>
        <v/>
      </c>
      <c r="R53" s="14" t="inlineStr"/>
      <c r="S53" s="14" t="inlineStr"/>
    </row>
    <row r="54">
      <c r="A54" s="12" t="inlineStr">
        <is>
          <t>FT4</t>
        </is>
      </c>
      <c r="B54" s="12" t="inlineStr">
        <is>
          <t>GPMP36</t>
        </is>
      </c>
      <c r="C54" s="12" t="inlineStr">
        <is>
          <t>SPLIT CAL KING</t>
        </is>
      </c>
      <c r="D54" s="13" t="inlineStr">
        <is>
          <t>36.0x84.0x18.0"</t>
        </is>
      </c>
      <c r="E54" s="12" t="inlineStr">
        <is>
          <t>Skirt</t>
        </is>
      </c>
      <c r="F54" s="13" t="inlineStr">
        <is>
          <t>LXW</t>
        </is>
      </c>
      <c r="G54" s="12" t="inlineStr">
        <is>
          <t>100% Polyester mesh knitted fabric</t>
        </is>
      </c>
      <c r="H54" s="12" t="n"/>
      <c r="I54" s="12" t="inlineStr"/>
      <c r="J54" s="12" t="inlineStr"/>
      <c r="K54" s="12" t="n">
        <v>70</v>
      </c>
      <c r="L54" s="12" t="inlineStr"/>
      <c r="M54" s="12" t="inlineStr"/>
      <c r="N54" s="12" t="n"/>
      <c r="O54" s="12" t="n"/>
      <c r="P54" s="12" t="n"/>
      <c r="Q54" s="16">
        <f>IFERROR(O54*(1+P54/100)*VLOOKUP(B54,'1. Articles (SKUs)'!F:R,13,FALSE),"")</f>
        <v/>
      </c>
      <c r="R54" s="12" t="inlineStr"/>
      <c r="S54" s="12" t="inlineStr"/>
    </row>
    <row r="55">
      <c r="A55" s="14" t="inlineStr">
        <is>
          <t>FT4</t>
        </is>
      </c>
      <c r="B55" s="14" t="inlineStr">
        <is>
          <t>GPMP36</t>
        </is>
      </c>
      <c r="C55" s="14" t="inlineStr">
        <is>
          <t>SPLIT CAL KING</t>
        </is>
      </c>
      <c r="D55" s="15" t="inlineStr">
        <is>
          <t>36.0x84.0x18.0"</t>
        </is>
      </c>
      <c r="E55" s="14" t="inlineStr">
        <is>
          <t>Piping</t>
        </is>
      </c>
      <c r="F55" s="15" t="inlineStr">
        <is>
          <t>WXL</t>
        </is>
      </c>
      <c r="G55" s="14" t="inlineStr">
        <is>
          <t>Piping fabric  - 100% Polyester satin fabric in silver color, Pantone Color - #14-4102TC</t>
        </is>
      </c>
      <c r="H55" s="14" t="n"/>
      <c r="I55" s="14" t="inlineStr"/>
      <c r="J55" s="14" t="inlineStr"/>
      <c r="K55" s="14" t="n">
        <v>70</v>
      </c>
      <c r="L55" s="14" t="inlineStr"/>
      <c r="M55" s="14" t="inlineStr">
        <is>
          <t>Silver</t>
        </is>
      </c>
      <c r="N55" s="14" t="n"/>
      <c r="O55" s="14" t="n"/>
      <c r="P55" s="14" t="n"/>
      <c r="Q55" s="17">
        <f>IFERROR(O55*(1+P55/100)*VLOOKUP(B55,'1. Articles (SKUs)'!F:R,13,FALSE),"")</f>
        <v/>
      </c>
      <c r="R55" s="14" t="inlineStr"/>
      <c r="S55" s="14" t="inlineStr"/>
    </row>
    <row r="56">
      <c r="A56" s="12" t="inlineStr">
        <is>
          <t>FT4</t>
        </is>
      </c>
      <c r="B56" s="12" t="inlineStr">
        <is>
          <t>GPMP52</t>
        </is>
      </c>
      <c r="C56" s="12" t="inlineStr">
        <is>
          <t>SPLIT HEAD QUEEN</t>
        </is>
      </c>
      <c r="D56" s="13" t="inlineStr">
        <is>
          <t>60.0x80.0x18.0"</t>
        </is>
      </c>
      <c r="E56" s="12" t="inlineStr">
        <is>
          <t>Platform</t>
        </is>
      </c>
      <c r="F56" s="13" t="inlineStr">
        <is>
          <t>WXL</t>
        </is>
      </c>
      <c r="G56" s="12" t="inlineStr">
        <is>
          <t>110gsm - 100% Polyester terry knitted fabric with 0.02mm TPUwhite coating</t>
        </is>
      </c>
      <c r="H56" s="12" t="n"/>
      <c r="I56" s="12" t="inlineStr"/>
      <c r="J56" s="12" t="inlineStr">
        <is>
          <t>100% Polyester</t>
        </is>
      </c>
      <c r="K56" s="12" t="n">
        <v>110</v>
      </c>
      <c r="L56" s="12" t="inlineStr">
        <is>
          <t>TPU coated</t>
        </is>
      </c>
      <c r="M56" s="12" t="inlineStr">
        <is>
          <t>White</t>
        </is>
      </c>
      <c r="N56" s="13" t="n">
        <v>208</v>
      </c>
      <c r="O56" s="13" t="n">
        <v>1.63</v>
      </c>
      <c r="P56" s="13" t="n">
        <v>6</v>
      </c>
      <c r="Q56" s="16">
        <f>IFERROR(O56*(1+P56/100)*VLOOKUP(B56,'1. Articles (SKUs)'!F:R,13,FALSE),"")</f>
        <v/>
      </c>
      <c r="R56" s="12" t="inlineStr"/>
      <c r="S56" s="12" t="inlineStr"/>
    </row>
    <row r="57">
      <c r="A57" s="14" t="inlineStr">
        <is>
          <t>FT4</t>
        </is>
      </c>
      <c r="B57" s="14" t="inlineStr">
        <is>
          <t>GPMP52</t>
        </is>
      </c>
      <c r="C57" s="14" t="inlineStr">
        <is>
          <t>SPLIT HEAD QUEEN</t>
        </is>
      </c>
      <c r="D57" s="15" t="inlineStr">
        <is>
          <t>60.0x80.0x18.0"</t>
        </is>
      </c>
      <c r="E57" s="14" t="inlineStr">
        <is>
          <t>Skirt</t>
        </is>
      </c>
      <c r="F57" s="15" t="inlineStr">
        <is>
          <t>LXW</t>
        </is>
      </c>
      <c r="G57" s="14" t="inlineStr">
        <is>
          <t>100% Polyester mesh knitted fabric</t>
        </is>
      </c>
      <c r="H57" s="14" t="n"/>
      <c r="I57" s="14" t="inlineStr"/>
      <c r="J57" s="14" t="inlineStr">
        <is>
          <t>100% Polyester</t>
        </is>
      </c>
      <c r="K57" s="14" t="n">
        <v>70</v>
      </c>
      <c r="L57" s="14" t="inlineStr"/>
      <c r="M57" s="14" t="inlineStr"/>
      <c r="N57" s="15" t="n">
        <v>190</v>
      </c>
      <c r="O57" s="15" t="n">
        <v>2.25</v>
      </c>
      <c r="P57" s="15" t="n">
        <v>6</v>
      </c>
      <c r="Q57" s="17">
        <f>IFERROR(O57*(1+P57/100)*VLOOKUP(B57,'1. Articles (SKUs)'!F:R,13,FALSE),"")</f>
        <v/>
      </c>
      <c r="R57" s="14" t="inlineStr"/>
      <c r="S57" s="14" t="inlineStr"/>
    </row>
    <row r="58">
      <c r="A58" s="12" t="inlineStr">
        <is>
          <t>FT4</t>
        </is>
      </c>
      <c r="B58" s="12" t="inlineStr">
        <is>
          <t>GPMP52</t>
        </is>
      </c>
      <c r="C58" s="12" t="inlineStr">
        <is>
          <t>SPLIT HEAD QUEEN</t>
        </is>
      </c>
      <c r="D58" s="13" t="inlineStr">
        <is>
          <t>60.0x80.0x18.0"</t>
        </is>
      </c>
      <c r="E58" s="12" t="inlineStr">
        <is>
          <t>Piping</t>
        </is>
      </c>
      <c r="F58" s="13" t="inlineStr">
        <is>
          <t>WXL</t>
        </is>
      </c>
      <c r="G58" s="12" t="inlineStr">
        <is>
          <t>Piping fabric  - 100% Polyester satin fabric in silver color, Pantone Color - #14-4102TC</t>
        </is>
      </c>
      <c r="H58" s="12" t="n"/>
      <c r="I58" s="12" t="inlineStr"/>
      <c r="J58" s="12" t="inlineStr">
        <is>
          <t>100% Polyester</t>
        </is>
      </c>
      <c r="K58" s="12" t="n">
        <v>70</v>
      </c>
      <c r="L58" s="12" t="inlineStr"/>
      <c r="M58" s="12" t="inlineStr">
        <is>
          <t>Silver</t>
        </is>
      </c>
      <c r="N58" s="13" t="n">
        <v>180</v>
      </c>
      <c r="O58" s="13" t="n">
        <v>0.29</v>
      </c>
      <c r="P58" s="13" t="n">
        <v>6</v>
      </c>
      <c r="Q58" s="16">
        <f>IFERROR(O58*(1+P58/100)*VLOOKUP(B58,'1. Articles (SKUs)'!F:R,13,FALSE),"")</f>
        <v/>
      </c>
      <c r="R58" s="12" t="inlineStr"/>
      <c r="S58" s="12" t="inlineStr"/>
    </row>
    <row r="59">
      <c r="A59" s="14" t="inlineStr">
        <is>
          <t>FT4</t>
        </is>
      </c>
      <c r="B59" s="14" t="inlineStr">
        <is>
          <t>GPMP79</t>
        </is>
      </c>
      <c r="C59" s="14" t="inlineStr">
        <is>
          <t>SPLIT HEAD KING</t>
        </is>
      </c>
      <c r="D59" s="15" t="inlineStr">
        <is>
          <t>78.0x80.0x18.0"</t>
        </is>
      </c>
      <c r="E59" s="14" t="inlineStr">
        <is>
          <t>Platform</t>
        </is>
      </c>
      <c r="F59" s="15" t="inlineStr">
        <is>
          <t>WXL</t>
        </is>
      </c>
      <c r="G59" s="14" t="inlineStr">
        <is>
          <t>110gsm - 100% Polyester terry knitted fabric with 0.02mm TPUwhite coating</t>
        </is>
      </c>
      <c r="H59" s="14" t="n"/>
      <c r="I59" s="14" t="inlineStr"/>
      <c r="J59" s="14" t="inlineStr">
        <is>
          <t>100% Polyester</t>
        </is>
      </c>
      <c r="K59" s="14" t="n">
        <v>110</v>
      </c>
      <c r="L59" s="14" t="inlineStr">
        <is>
          <t>TPU coated</t>
        </is>
      </c>
      <c r="M59" s="14" t="inlineStr">
        <is>
          <t>White</t>
        </is>
      </c>
      <c r="N59" s="15" t="n">
        <v>208</v>
      </c>
      <c r="O59" s="15" t="n">
        <v>2.08</v>
      </c>
      <c r="P59" s="15" t="n">
        <v>6</v>
      </c>
      <c r="Q59" s="17">
        <f>IFERROR(O59*(1+P59/100)*VLOOKUP(B59,'1. Articles (SKUs)'!F:R,13,FALSE),"")</f>
        <v/>
      </c>
      <c r="R59" s="14" t="inlineStr"/>
      <c r="S59" s="14" t="inlineStr"/>
    </row>
    <row r="60">
      <c r="A60" s="12" t="inlineStr">
        <is>
          <t>FT4</t>
        </is>
      </c>
      <c r="B60" s="12" t="inlineStr">
        <is>
          <t>GPMP79</t>
        </is>
      </c>
      <c r="C60" s="12" t="inlineStr">
        <is>
          <t>SPLIT HEAD KING</t>
        </is>
      </c>
      <c r="D60" s="13" t="inlineStr">
        <is>
          <t>78.0x80.0x18.0"</t>
        </is>
      </c>
      <c r="E60" s="12" t="inlineStr">
        <is>
          <t>Skirt</t>
        </is>
      </c>
      <c r="F60" s="13" t="inlineStr">
        <is>
          <t>LXW</t>
        </is>
      </c>
      <c r="G60" s="12" t="inlineStr">
        <is>
          <t>100% Polyester mesh knitted fabric</t>
        </is>
      </c>
      <c r="H60" s="12" t="n"/>
      <c r="I60" s="12" t="inlineStr"/>
      <c r="J60" s="12" t="inlineStr">
        <is>
          <t>100% Polyester</t>
        </is>
      </c>
      <c r="K60" s="12" t="n">
        <v>70</v>
      </c>
      <c r="L60" s="12" t="inlineStr"/>
      <c r="M60" s="12" t="inlineStr"/>
      <c r="N60" s="13" t="n">
        <v>190</v>
      </c>
      <c r="O60" s="13" t="n">
        <v>2.48</v>
      </c>
      <c r="P60" s="13" t="n">
        <v>6</v>
      </c>
      <c r="Q60" s="16">
        <f>IFERROR(O60*(1+P60/100)*VLOOKUP(B60,'1. Articles (SKUs)'!F:R,13,FALSE),"")</f>
        <v/>
      </c>
      <c r="R60" s="12" t="inlineStr"/>
      <c r="S60" s="12" t="inlineStr"/>
    </row>
    <row r="61">
      <c r="A61" s="14" t="inlineStr">
        <is>
          <t>FT4</t>
        </is>
      </c>
      <c r="B61" s="14" t="inlineStr">
        <is>
          <t>GPMP79</t>
        </is>
      </c>
      <c r="C61" s="14" t="inlineStr">
        <is>
          <t>SPLIT HEAD KING</t>
        </is>
      </c>
      <c r="D61" s="15" t="inlineStr">
        <is>
          <t>78.0x80.0x18.0"</t>
        </is>
      </c>
      <c r="E61" s="14" t="inlineStr">
        <is>
          <t>Piping</t>
        </is>
      </c>
      <c r="F61" s="15" t="inlineStr">
        <is>
          <t>WXL</t>
        </is>
      </c>
      <c r="G61" s="14" t="inlineStr">
        <is>
          <t>Piping fabric  - 100% Polyester satin fabric in silver color, Pantone Color - #14-4102TC</t>
        </is>
      </c>
      <c r="H61" s="14" t="n"/>
      <c r="I61" s="14" t="inlineStr"/>
      <c r="J61" s="14" t="inlineStr">
        <is>
          <t>100% Polyester</t>
        </is>
      </c>
      <c r="K61" s="14" t="n">
        <v>70</v>
      </c>
      <c r="L61" s="14" t="inlineStr"/>
      <c r="M61" s="14" t="inlineStr">
        <is>
          <t>Silver</t>
        </is>
      </c>
      <c r="N61" s="15" t="n">
        <v>180</v>
      </c>
      <c r="O61" s="15" t="n">
        <v>0.31</v>
      </c>
      <c r="P61" s="15" t="n">
        <v>6</v>
      </c>
      <c r="Q61" s="17">
        <f>IFERROR(O61*(1+P61/100)*VLOOKUP(B61,'1. Articles (SKUs)'!F:R,13,FALSE),"")</f>
        <v/>
      </c>
      <c r="R61" s="14" t="inlineStr"/>
      <c r="S61" s="14" t="inlineStr"/>
    </row>
    <row r="62">
      <c r="A62" s="12" t="inlineStr">
        <is>
          <t>FT9</t>
        </is>
      </c>
      <c r="B62" s="12" t="inlineStr">
        <is>
          <t>GPTE33</t>
        </is>
      </c>
      <c r="C62" s="12" t="inlineStr">
        <is>
          <t>TWIN</t>
        </is>
      </c>
      <c r="D62" s="13" t="inlineStr">
        <is>
          <t>39.0x75.0x11.0"</t>
        </is>
      </c>
      <c r="E62" s="12" t="inlineStr">
        <is>
          <t>Platform</t>
        </is>
      </c>
      <c r="F62" s="13" t="inlineStr">
        <is>
          <t>WXL</t>
        </is>
      </c>
      <c r="G62" s="12" t="inlineStr">
        <is>
          <t>110gsm - 100% Polyester terry knitted fabric with 0.02mm TPUwhite coating</t>
        </is>
      </c>
      <c r="H62" s="12" t="n"/>
      <c r="I62" s="12" t="inlineStr"/>
      <c r="J62" s="12" t="inlineStr">
        <is>
          <t>100% Polyester</t>
        </is>
      </c>
      <c r="K62" s="12" t="n">
        <v>110</v>
      </c>
      <c r="L62" s="12" t="inlineStr">
        <is>
          <t>TPU coated</t>
        </is>
      </c>
      <c r="M62" s="12" t="inlineStr">
        <is>
          <t>White</t>
        </is>
      </c>
      <c r="N62" s="13" t="n">
        <v>208</v>
      </c>
      <c r="O62" s="13" t="n">
        <v>0.98</v>
      </c>
      <c r="P62" s="13" t="n">
        <v>6</v>
      </c>
      <c r="Q62" s="16">
        <f>IFERROR(O62*(1+P62/100)*VLOOKUP(B62,'1. Articles (SKUs)'!F:R,13,FALSE),"")</f>
        <v/>
      </c>
      <c r="R62" s="12" t="inlineStr"/>
      <c r="S62" s="12" t="inlineStr"/>
    </row>
    <row r="63">
      <c r="A63" s="14" t="inlineStr">
        <is>
          <t>FT9</t>
        </is>
      </c>
      <c r="B63" s="14" t="inlineStr">
        <is>
          <t>GPTE33</t>
        </is>
      </c>
      <c r="C63" s="14" t="inlineStr">
        <is>
          <t>TWIN</t>
        </is>
      </c>
      <c r="D63" s="15" t="inlineStr">
        <is>
          <t>39.0x75.0x11.0"</t>
        </is>
      </c>
      <c r="E63" s="14" t="inlineStr">
        <is>
          <t>Bottom + Skirt</t>
        </is>
      </c>
      <c r="F63" s="15" t="inlineStr">
        <is>
          <t>WXL</t>
        </is>
      </c>
      <c r="G63" s="14" t="inlineStr">
        <is>
          <t>70gsm - 100% Polyester interlock knitted fabric in white</t>
        </is>
      </c>
      <c r="H63" s="14" t="n"/>
      <c r="I63" s="14" t="inlineStr"/>
      <c r="J63" s="14" t="inlineStr">
        <is>
          <t>100% Polyester</t>
        </is>
      </c>
      <c r="K63" s="14" t="n">
        <v>70</v>
      </c>
      <c r="L63" s="14" t="inlineStr">
        <is>
          <t>A) 0.02mmTPU PU Coating(Chinese TPU) in White Color</t>
        </is>
      </c>
      <c r="M63" s="14" t="inlineStr">
        <is>
          <t>White</t>
        </is>
      </c>
      <c r="N63" s="15" t="n">
        <v>190</v>
      </c>
      <c r="O63" s="15" t="n">
        <v>1.96</v>
      </c>
      <c r="P63" s="15" t="n">
        <v>6</v>
      </c>
      <c r="Q63" s="17">
        <f>IFERROR(O63*(1+P63/100)*VLOOKUP(B63,'1. Articles (SKUs)'!F:R,13,FALSE),"")</f>
        <v/>
      </c>
      <c r="R63" s="14" t="inlineStr"/>
      <c r="S63" s="14" t="inlineStr"/>
    </row>
    <row r="64">
      <c r="A64" s="12" t="inlineStr">
        <is>
          <t>FT9</t>
        </is>
      </c>
      <c r="B64" s="12" t="inlineStr">
        <is>
          <t>GPTE33</t>
        </is>
      </c>
      <c r="C64" s="12" t="inlineStr">
        <is>
          <t>TWIN</t>
        </is>
      </c>
      <c r="D64" s="13" t="inlineStr">
        <is>
          <t>39.0x75.0x11.0"</t>
        </is>
      </c>
      <c r="E64" s="12" t="inlineStr">
        <is>
          <t>Piping</t>
        </is>
      </c>
      <c r="F64" s="13" t="inlineStr">
        <is>
          <t>WXL</t>
        </is>
      </c>
      <c r="G64" s="12" t="inlineStr">
        <is>
          <t>Piping fabric  - 100% Polyester satin fabric in silver color, Pantone Color - #14-4102TC</t>
        </is>
      </c>
      <c r="H64" s="12" t="n"/>
      <c r="I64" s="12" t="inlineStr"/>
      <c r="J64" s="12" t="inlineStr">
        <is>
          <t>100% Polyester</t>
        </is>
      </c>
      <c r="K64" s="12" t="n">
        <v>70</v>
      </c>
      <c r="L64" s="12" t="inlineStr"/>
      <c r="M64" s="12" t="inlineStr">
        <is>
          <t>Silver</t>
        </is>
      </c>
      <c r="N64" s="13" t="n">
        <v>180</v>
      </c>
      <c r="O64" s="13" t="n">
        <v>0.19</v>
      </c>
      <c r="P64" s="13" t="n">
        <v>6</v>
      </c>
      <c r="Q64" s="16">
        <f>IFERROR(O64*(1+P64/100)*VLOOKUP(B64,'1. Articles (SKUs)'!F:R,13,FALSE),"")</f>
        <v/>
      </c>
      <c r="R64" s="12" t="inlineStr"/>
      <c r="S64" s="12" t="inlineStr"/>
    </row>
    <row r="65">
      <c r="A65" s="14" t="inlineStr">
        <is>
          <t>FT9</t>
        </is>
      </c>
      <c r="B65" s="14" t="inlineStr">
        <is>
          <t>GPTE33</t>
        </is>
      </c>
      <c r="C65" s="14" t="inlineStr">
        <is>
          <t>TWIN</t>
        </is>
      </c>
      <c r="D65" s="15" t="inlineStr">
        <is>
          <t>39.0x75.0x11.0"</t>
        </is>
      </c>
      <c r="E65" s="14" t="inlineStr">
        <is>
          <t>Binding</t>
        </is>
      </c>
      <c r="F65" s="15" t="inlineStr">
        <is>
          <t>WXL</t>
        </is>
      </c>
      <c r="G65" s="14" t="inlineStr">
        <is>
          <t>Bound seam fabric - 100% Polyester microfiber woven fabric in white color</t>
        </is>
      </c>
      <c r="H65" s="14" t="n"/>
      <c r="I65" s="14" t="inlineStr"/>
      <c r="J65" s="14" t="inlineStr">
        <is>
          <t>100% Polyester</t>
        </is>
      </c>
      <c r="K65" s="14" t="n">
        <v>70</v>
      </c>
      <c r="L65" s="14" t="inlineStr"/>
      <c r="M65" s="14" t="inlineStr">
        <is>
          <t>White</t>
        </is>
      </c>
      <c r="N65" s="15" t="n">
        <v>180</v>
      </c>
      <c r="O65" s="15" t="n">
        <v>0.46</v>
      </c>
      <c r="P65" s="15" t="n">
        <v>6</v>
      </c>
      <c r="Q65" s="17">
        <f>IFERROR(O65*(1+P65/100)*VLOOKUP(B65,'1. Articles (SKUs)'!F:R,13,FALSE),"")</f>
        <v/>
      </c>
      <c r="R65" s="14" t="inlineStr"/>
      <c r="S65" s="14" t="inlineStr"/>
    </row>
    <row r="66">
      <c r="A66" s="12" t="inlineStr">
        <is>
          <t>FT9</t>
        </is>
      </c>
      <c r="B66" s="12" t="inlineStr">
        <is>
          <t>GPTE38</t>
        </is>
      </c>
      <c r="C66" s="12" t="inlineStr">
        <is>
          <t>TWIN XL</t>
        </is>
      </c>
      <c r="D66" s="13" t="inlineStr">
        <is>
          <t>39.0x80.0x11.0"</t>
        </is>
      </c>
      <c r="E66" s="12" t="inlineStr">
        <is>
          <t>Platform</t>
        </is>
      </c>
      <c r="F66" s="13" t="inlineStr">
        <is>
          <t>WXL</t>
        </is>
      </c>
      <c r="G66" s="12" t="inlineStr">
        <is>
          <t>110gsm - 100% Polyester terry knitted fabric with 0.02mm TPUwhite coating</t>
        </is>
      </c>
      <c r="H66" s="12" t="n"/>
      <c r="I66" s="12" t="inlineStr"/>
      <c r="J66" s="12" t="inlineStr">
        <is>
          <t>100% Polyester</t>
        </is>
      </c>
      <c r="K66" s="12" t="n">
        <v>110</v>
      </c>
      <c r="L66" s="12" t="inlineStr">
        <is>
          <t>TPU coated</t>
        </is>
      </c>
      <c r="M66" s="12" t="inlineStr">
        <is>
          <t>White</t>
        </is>
      </c>
      <c r="N66" s="13" t="n">
        <v>208</v>
      </c>
      <c r="O66" s="13" t="n">
        <v>1.04</v>
      </c>
      <c r="P66" s="13" t="n">
        <v>6</v>
      </c>
      <c r="Q66" s="16">
        <f>IFERROR(O66*(1+P66/100)*VLOOKUP(B66,'1. Articles (SKUs)'!F:R,13,FALSE),"")</f>
        <v/>
      </c>
      <c r="R66" s="12" t="inlineStr"/>
      <c r="S66" s="12" t="inlineStr"/>
    </row>
    <row r="67">
      <c r="A67" s="14" t="inlineStr">
        <is>
          <t>FT9</t>
        </is>
      </c>
      <c r="B67" s="14" t="inlineStr">
        <is>
          <t>GPTE38</t>
        </is>
      </c>
      <c r="C67" s="14" t="inlineStr">
        <is>
          <t>TWIN XL</t>
        </is>
      </c>
      <c r="D67" s="15" t="inlineStr">
        <is>
          <t>39.0x80.0x11.0"</t>
        </is>
      </c>
      <c r="E67" s="14" t="inlineStr">
        <is>
          <t>Bottom + Skirt</t>
        </is>
      </c>
      <c r="F67" s="15" t="inlineStr">
        <is>
          <t>WXL</t>
        </is>
      </c>
      <c r="G67" s="14" t="inlineStr">
        <is>
          <t>70gsm - 100% Polyester interlock knitted fabric in white</t>
        </is>
      </c>
      <c r="H67" s="14" t="n"/>
      <c r="I67" s="14" t="inlineStr"/>
      <c r="J67" s="14" t="inlineStr">
        <is>
          <t>100% Polyester</t>
        </is>
      </c>
      <c r="K67" s="14" t="n">
        <v>70</v>
      </c>
      <c r="L67" s="14" t="inlineStr">
        <is>
          <t>A) 0.02mmTPU PU Coating(Chinese TPU) in White Color</t>
        </is>
      </c>
      <c r="M67" s="14" t="inlineStr">
        <is>
          <t>White</t>
        </is>
      </c>
      <c r="N67" s="15" t="n">
        <v>190</v>
      </c>
      <c r="O67" s="15" t="n">
        <v>2.08</v>
      </c>
      <c r="P67" s="15" t="n">
        <v>6</v>
      </c>
      <c r="Q67" s="17">
        <f>IFERROR(O67*(1+P67/100)*VLOOKUP(B67,'1. Articles (SKUs)'!F:R,13,FALSE),"")</f>
        <v/>
      </c>
      <c r="R67" s="14" t="inlineStr"/>
      <c r="S67" s="14" t="inlineStr"/>
    </row>
    <row r="68">
      <c r="A68" s="12" t="inlineStr">
        <is>
          <t>FT9</t>
        </is>
      </c>
      <c r="B68" s="12" t="inlineStr">
        <is>
          <t>GPTE38</t>
        </is>
      </c>
      <c r="C68" s="12" t="inlineStr">
        <is>
          <t>TWIN XL</t>
        </is>
      </c>
      <c r="D68" s="13" t="inlineStr">
        <is>
          <t>39.0x80.0x11.0"</t>
        </is>
      </c>
      <c r="E68" s="12" t="inlineStr">
        <is>
          <t>Piping</t>
        </is>
      </c>
      <c r="F68" s="13" t="inlineStr">
        <is>
          <t>WXL</t>
        </is>
      </c>
      <c r="G68" s="12" t="inlineStr">
        <is>
          <t>Piping fabric  - 100% Polyester satin fabric in silver color, Pantone Color - #14-4102TC</t>
        </is>
      </c>
      <c r="H68" s="12" t="n"/>
      <c r="I68" s="12" t="inlineStr"/>
      <c r="J68" s="12" t="inlineStr">
        <is>
          <t>100% Polyester</t>
        </is>
      </c>
      <c r="K68" s="12" t="n">
        <v>70</v>
      </c>
      <c r="L68" s="12" t="inlineStr"/>
      <c r="M68" s="12" t="inlineStr">
        <is>
          <t>Silver</t>
        </is>
      </c>
      <c r="N68" s="13" t="n">
        <v>180</v>
      </c>
      <c r="O68" s="13" t="n">
        <v>0.2</v>
      </c>
      <c r="P68" s="13" t="n">
        <v>6</v>
      </c>
      <c r="Q68" s="16">
        <f>IFERROR(O68*(1+P68/100)*VLOOKUP(B68,'1. Articles (SKUs)'!F:R,13,FALSE),"")</f>
        <v/>
      </c>
      <c r="R68" s="12" t="inlineStr"/>
      <c r="S68" s="12" t="inlineStr"/>
    </row>
    <row r="69">
      <c r="A69" s="14" t="inlineStr">
        <is>
          <t>FT9</t>
        </is>
      </c>
      <c r="B69" s="14" t="inlineStr">
        <is>
          <t>GPTE38</t>
        </is>
      </c>
      <c r="C69" s="14" t="inlineStr">
        <is>
          <t>TWIN XL</t>
        </is>
      </c>
      <c r="D69" s="15" t="inlineStr">
        <is>
          <t>39.0x80.0x11.0"</t>
        </is>
      </c>
      <c r="E69" s="14" t="inlineStr">
        <is>
          <t>Binding</t>
        </is>
      </c>
      <c r="F69" s="15" t="inlineStr">
        <is>
          <t>WXL</t>
        </is>
      </c>
      <c r="G69" s="14" t="inlineStr">
        <is>
          <t>Bound seam fabric - 100% Polyester microfiber woven fabric in white color</t>
        </is>
      </c>
      <c r="H69" s="14" t="n"/>
      <c r="I69" s="14" t="inlineStr"/>
      <c r="J69" s="14" t="inlineStr">
        <is>
          <t>100% Polyester</t>
        </is>
      </c>
      <c r="K69" s="14" t="n">
        <v>70</v>
      </c>
      <c r="L69" s="14" t="inlineStr"/>
      <c r="M69" s="14" t="inlineStr">
        <is>
          <t>White</t>
        </is>
      </c>
      <c r="N69" s="15" t="n">
        <v>180</v>
      </c>
      <c r="O69" s="15" t="n">
        <v>0.48</v>
      </c>
      <c r="P69" s="15" t="n">
        <v>6</v>
      </c>
      <c r="Q69" s="17">
        <f>IFERROR(O69*(1+P69/100)*VLOOKUP(B69,'1. Articles (SKUs)'!F:R,13,FALSE),"")</f>
        <v/>
      </c>
      <c r="R69" s="14" t="inlineStr"/>
      <c r="S69" s="14" t="inlineStr"/>
    </row>
    <row r="70">
      <c r="A70" s="12" t="inlineStr">
        <is>
          <t>FT9</t>
        </is>
      </c>
      <c r="B70" s="12" t="inlineStr">
        <is>
          <t>GPTE46</t>
        </is>
      </c>
      <c r="C70" s="12" t="inlineStr">
        <is>
          <t>FULL</t>
        </is>
      </c>
      <c r="D70" s="13" t="inlineStr">
        <is>
          <t>54.0x75.0x11.0"</t>
        </is>
      </c>
      <c r="E70" s="12" t="inlineStr">
        <is>
          <t>Platform</t>
        </is>
      </c>
      <c r="F70" s="13" t="inlineStr">
        <is>
          <t>WXL</t>
        </is>
      </c>
      <c r="G70" s="12" t="inlineStr">
        <is>
          <t>110gsm - 100% Polyester terry knitted fabric with 0.02mm TPUwhite coating</t>
        </is>
      </c>
      <c r="H70" s="12" t="n"/>
      <c r="I70" s="12" t="inlineStr"/>
      <c r="J70" s="12" t="inlineStr">
        <is>
          <t>100% Polyester</t>
        </is>
      </c>
      <c r="K70" s="12" t="n">
        <v>110</v>
      </c>
      <c r="L70" s="12" t="inlineStr">
        <is>
          <t>TPU coated</t>
        </is>
      </c>
      <c r="M70" s="12" t="inlineStr">
        <is>
          <t>White</t>
        </is>
      </c>
      <c r="N70" s="13" t="n">
        <v>208</v>
      </c>
      <c r="O70" s="13" t="n">
        <v>1.42</v>
      </c>
      <c r="P70" s="13" t="n">
        <v>6</v>
      </c>
      <c r="Q70" s="16">
        <f>IFERROR(O70*(1+P70/100)*VLOOKUP(B70,'1. Articles (SKUs)'!F:R,13,FALSE),"")</f>
        <v/>
      </c>
      <c r="R70" s="12" t="inlineStr"/>
      <c r="S70" s="12" t="inlineStr"/>
    </row>
    <row r="71">
      <c r="A71" s="14" t="inlineStr">
        <is>
          <t>FT9</t>
        </is>
      </c>
      <c r="B71" s="14" t="inlineStr">
        <is>
          <t>GPTE46</t>
        </is>
      </c>
      <c r="C71" s="14" t="inlineStr">
        <is>
          <t>FULL</t>
        </is>
      </c>
      <c r="D71" s="15" t="inlineStr">
        <is>
          <t>54.0x75.0x11.0"</t>
        </is>
      </c>
      <c r="E71" s="14" t="inlineStr">
        <is>
          <t>Bottom + Skirt</t>
        </is>
      </c>
      <c r="F71" s="15" t="inlineStr">
        <is>
          <t>WXL</t>
        </is>
      </c>
      <c r="G71" s="14" t="inlineStr">
        <is>
          <t>70gsm - 100% Polyester interlock knitted fabric in white</t>
        </is>
      </c>
      <c r="H71" s="14" t="n"/>
      <c r="I71" s="14" t="inlineStr"/>
      <c r="J71" s="14" t="inlineStr">
        <is>
          <t>100% Polyester</t>
        </is>
      </c>
      <c r="K71" s="14" t="n">
        <v>70</v>
      </c>
      <c r="L71" s="14" t="inlineStr">
        <is>
          <t>A) 0.02mmTPU PU Coating(Chinese TPU) in White Color</t>
        </is>
      </c>
      <c r="M71" s="14" t="inlineStr">
        <is>
          <t>White</t>
        </is>
      </c>
      <c r="N71" s="15" t="n">
        <v>190</v>
      </c>
      <c r="O71" s="15" t="n">
        <v>2.53</v>
      </c>
      <c r="P71" s="15" t="n">
        <v>6</v>
      </c>
      <c r="Q71" s="17">
        <f>IFERROR(O71*(1+P71/100)*VLOOKUP(B71,'1. Articles (SKUs)'!F:R,13,FALSE),"")</f>
        <v/>
      </c>
      <c r="R71" s="14" t="inlineStr"/>
      <c r="S71" s="14" t="inlineStr"/>
    </row>
    <row r="72">
      <c r="A72" s="12" t="inlineStr">
        <is>
          <t>FT9</t>
        </is>
      </c>
      <c r="B72" s="12" t="inlineStr">
        <is>
          <t>GPTE46</t>
        </is>
      </c>
      <c r="C72" s="12" t="inlineStr">
        <is>
          <t>FULL</t>
        </is>
      </c>
      <c r="D72" s="13" t="inlineStr">
        <is>
          <t>54.0x75.0x11.0"</t>
        </is>
      </c>
      <c r="E72" s="12" t="inlineStr">
        <is>
          <t>Piping</t>
        </is>
      </c>
      <c r="F72" s="13" t="inlineStr">
        <is>
          <t>WXL</t>
        </is>
      </c>
      <c r="G72" s="12" t="inlineStr">
        <is>
          <t>Piping fabric  - 100% Polyester satin fabric in silver color, Pantone Color - #14-4102TC</t>
        </is>
      </c>
      <c r="H72" s="12" t="n"/>
      <c r="I72" s="12" t="inlineStr"/>
      <c r="J72" s="12" t="inlineStr">
        <is>
          <t>100% Polyester</t>
        </is>
      </c>
      <c r="K72" s="12" t="n">
        <v>70</v>
      </c>
      <c r="L72" s="12" t="inlineStr"/>
      <c r="M72" s="12" t="inlineStr">
        <is>
          <t>Silver</t>
        </is>
      </c>
      <c r="N72" s="13" t="n">
        <v>180</v>
      </c>
      <c r="O72" s="13" t="n">
        <v>0.21</v>
      </c>
      <c r="P72" s="13" t="n">
        <v>6</v>
      </c>
      <c r="Q72" s="16">
        <f>IFERROR(O72*(1+P72/100)*VLOOKUP(B72,'1. Articles (SKUs)'!F:R,13,FALSE),"")</f>
        <v/>
      </c>
      <c r="R72" s="12" t="inlineStr"/>
      <c r="S72" s="12" t="inlineStr"/>
    </row>
    <row r="73">
      <c r="A73" s="14" t="inlineStr">
        <is>
          <t>FT9</t>
        </is>
      </c>
      <c r="B73" s="14" t="inlineStr">
        <is>
          <t>GPTE46</t>
        </is>
      </c>
      <c r="C73" s="14" t="inlineStr">
        <is>
          <t>FULL</t>
        </is>
      </c>
      <c r="D73" s="15" t="inlineStr">
        <is>
          <t>54.0x75.0x11.0"</t>
        </is>
      </c>
      <c r="E73" s="14" t="inlineStr">
        <is>
          <t>Binding</t>
        </is>
      </c>
      <c r="F73" s="15" t="inlineStr">
        <is>
          <t>WXL</t>
        </is>
      </c>
      <c r="G73" s="14" t="inlineStr">
        <is>
          <t>Bound seam fabric - 100% Polyester microfiber woven fabric in white color</t>
        </is>
      </c>
      <c r="H73" s="14" t="n"/>
      <c r="I73" s="14" t="inlineStr"/>
      <c r="J73" s="14" t="inlineStr">
        <is>
          <t>100% Polyester</t>
        </is>
      </c>
      <c r="K73" s="14" t="n">
        <v>70</v>
      </c>
      <c r="L73" s="14" t="inlineStr"/>
      <c r="M73" s="14" t="inlineStr">
        <is>
          <t>White</t>
        </is>
      </c>
      <c r="N73" s="15" t="n">
        <v>180</v>
      </c>
      <c r="O73" s="15" t="n">
        <v>0.51</v>
      </c>
      <c r="P73" s="15" t="n">
        <v>6</v>
      </c>
      <c r="Q73" s="17">
        <f>IFERROR(O73*(1+P73/100)*VLOOKUP(B73,'1. Articles (SKUs)'!F:R,13,FALSE),"")</f>
        <v/>
      </c>
      <c r="R73" s="14" t="inlineStr"/>
      <c r="S73" s="14" t="inlineStr"/>
    </row>
    <row r="74">
      <c r="A74" s="12" t="inlineStr">
        <is>
          <t>FT9</t>
        </is>
      </c>
      <c r="B74" s="12" t="inlineStr">
        <is>
          <t>GPTE80</t>
        </is>
      </c>
      <c r="C74" s="12" t="inlineStr">
        <is>
          <t>FULL XL</t>
        </is>
      </c>
      <c r="D74" s="13" t="inlineStr">
        <is>
          <t>54.0x80.0x11.0"</t>
        </is>
      </c>
      <c r="E74" s="12" t="inlineStr">
        <is>
          <t>Platform</t>
        </is>
      </c>
      <c r="F74" s="13" t="inlineStr">
        <is>
          <t>WXL</t>
        </is>
      </c>
      <c r="G74" s="12" t="inlineStr">
        <is>
          <t>110gsm - 100% Polyester terry knitted fabric with 0.02mm TPUwhite coating</t>
        </is>
      </c>
      <c r="H74" s="12" t="n"/>
      <c r="I74" s="12" t="inlineStr"/>
      <c r="J74" s="12" t="inlineStr">
        <is>
          <t>100% Polyester</t>
        </is>
      </c>
      <c r="K74" s="12" t="n">
        <v>110</v>
      </c>
      <c r="L74" s="12" t="inlineStr">
        <is>
          <t>TPU coated</t>
        </is>
      </c>
      <c r="M74" s="12" t="inlineStr">
        <is>
          <t>White</t>
        </is>
      </c>
      <c r="N74" s="13" t="n">
        <v>208</v>
      </c>
      <c r="O74" s="13" t="n">
        <v>1.09</v>
      </c>
      <c r="P74" s="13" t="n">
        <v>6</v>
      </c>
      <c r="Q74" s="16">
        <f>IFERROR(O74*(1+P74/100)*VLOOKUP(B74,'1. Articles (SKUs)'!F:R,13,FALSE),"")</f>
        <v/>
      </c>
      <c r="R74" s="12" t="inlineStr"/>
      <c r="S74" s="12" t="inlineStr"/>
    </row>
    <row r="75">
      <c r="A75" s="14" t="inlineStr">
        <is>
          <t>FT9</t>
        </is>
      </c>
      <c r="B75" s="14" t="inlineStr">
        <is>
          <t>GPTE80</t>
        </is>
      </c>
      <c r="C75" s="14" t="inlineStr">
        <is>
          <t>FULL XL</t>
        </is>
      </c>
      <c r="D75" s="15" t="inlineStr">
        <is>
          <t>54.0x80.0x11.0"</t>
        </is>
      </c>
      <c r="E75" s="14" t="inlineStr">
        <is>
          <t>Bottom + Skirt</t>
        </is>
      </c>
      <c r="F75" s="15" t="inlineStr">
        <is>
          <t>WXL</t>
        </is>
      </c>
      <c r="G75" s="14" t="inlineStr">
        <is>
          <t>70gsm - 100% Polyester interlock knitted fabric in white</t>
        </is>
      </c>
      <c r="H75" s="14" t="n"/>
      <c r="I75" s="14" t="inlineStr"/>
      <c r="J75" s="14" t="inlineStr">
        <is>
          <t>100% Polyester</t>
        </is>
      </c>
      <c r="K75" s="14" t="n">
        <v>70</v>
      </c>
      <c r="L75" s="14" t="inlineStr">
        <is>
          <t>A) 0.02mmTPU PU Coating(Chinese TPU) in White Color</t>
        </is>
      </c>
      <c r="M75" s="14" t="inlineStr">
        <is>
          <t>White</t>
        </is>
      </c>
      <c r="N75" s="15" t="n">
        <v>190</v>
      </c>
      <c r="O75" s="15" t="n">
        <v>2.33</v>
      </c>
      <c r="P75" s="15" t="n">
        <v>6</v>
      </c>
      <c r="Q75" s="17">
        <f>IFERROR(O75*(1+P75/100)*VLOOKUP(B75,'1. Articles (SKUs)'!F:R,13,FALSE),"")</f>
        <v/>
      </c>
      <c r="R75" s="14" t="inlineStr"/>
      <c r="S75" s="14" t="inlineStr"/>
    </row>
    <row r="76">
      <c r="A76" s="12" t="inlineStr">
        <is>
          <t>FT9</t>
        </is>
      </c>
      <c r="B76" s="12" t="inlineStr">
        <is>
          <t>GPTE80</t>
        </is>
      </c>
      <c r="C76" s="12" t="inlineStr">
        <is>
          <t>FULL XL</t>
        </is>
      </c>
      <c r="D76" s="13" t="inlineStr">
        <is>
          <t>54.0x80.0x11.0"</t>
        </is>
      </c>
      <c r="E76" s="12" t="inlineStr">
        <is>
          <t>Piping</t>
        </is>
      </c>
      <c r="F76" s="13" t="inlineStr">
        <is>
          <t>WXL</t>
        </is>
      </c>
      <c r="G76" s="12" t="inlineStr">
        <is>
          <t>Piping fabric  - 100% Polyester satin fabric in silver color, Pantone Color - #14-4102TC</t>
        </is>
      </c>
      <c r="H76" s="12" t="n"/>
      <c r="I76" s="12" t="inlineStr"/>
      <c r="J76" s="12" t="inlineStr">
        <is>
          <t>100% Polyester</t>
        </is>
      </c>
      <c r="K76" s="12" t="n">
        <v>70</v>
      </c>
      <c r="L76" s="12" t="inlineStr"/>
      <c r="M76" s="12" t="inlineStr">
        <is>
          <t>Silver</t>
        </is>
      </c>
      <c r="N76" s="13" t="n">
        <v>180</v>
      </c>
      <c r="O76" s="13" t="n">
        <v>0.2</v>
      </c>
      <c r="P76" s="13" t="n">
        <v>6</v>
      </c>
      <c r="Q76" s="16">
        <f>IFERROR(O76*(1+P76/100)*VLOOKUP(B76,'1. Articles (SKUs)'!F:R,13,FALSE),"")</f>
        <v/>
      </c>
      <c r="R76" s="12" t="inlineStr"/>
      <c r="S76" s="12" t="inlineStr"/>
    </row>
    <row r="77">
      <c r="A77" s="14" t="inlineStr">
        <is>
          <t>FT9</t>
        </is>
      </c>
      <c r="B77" s="14" t="inlineStr">
        <is>
          <t>GPTE80</t>
        </is>
      </c>
      <c r="C77" s="14" t="inlineStr">
        <is>
          <t>FULL XL</t>
        </is>
      </c>
      <c r="D77" s="15" t="inlineStr">
        <is>
          <t>54.0x80.0x11.0"</t>
        </is>
      </c>
      <c r="E77" s="14" t="inlineStr">
        <is>
          <t>Binding</t>
        </is>
      </c>
      <c r="F77" s="15" t="inlineStr">
        <is>
          <t>WXL</t>
        </is>
      </c>
      <c r="G77" s="14" t="inlineStr">
        <is>
          <t>Bound seam fabric - 100% Polyester microfiber woven fabric in white color</t>
        </is>
      </c>
      <c r="H77" s="14" t="n"/>
      <c r="I77" s="14" t="inlineStr"/>
      <c r="J77" s="14" t="inlineStr">
        <is>
          <t>100% Polyester</t>
        </is>
      </c>
      <c r="K77" s="14" t="n">
        <v>70</v>
      </c>
      <c r="L77" s="14" t="inlineStr"/>
      <c r="M77" s="14" t="inlineStr">
        <is>
          <t>White</t>
        </is>
      </c>
      <c r="N77" s="15" t="n">
        <v>180</v>
      </c>
      <c r="O77" s="15" t="n">
        <v>0.49</v>
      </c>
      <c r="P77" s="15" t="n">
        <v>6</v>
      </c>
      <c r="Q77" s="17">
        <f>IFERROR(O77*(1+P77/100)*VLOOKUP(B77,'1. Articles (SKUs)'!F:R,13,FALSE),"")</f>
        <v/>
      </c>
      <c r="R77" s="14" t="inlineStr"/>
      <c r="S77" s="14" t="inlineStr"/>
    </row>
    <row r="78">
      <c r="A78" s="12" t="inlineStr">
        <is>
          <t>FT9</t>
        </is>
      </c>
      <c r="B78" s="12" t="inlineStr">
        <is>
          <t>GPTE50</t>
        </is>
      </c>
      <c r="C78" s="12" t="inlineStr">
        <is>
          <t>QUEEN</t>
        </is>
      </c>
      <c r="D78" s="13" t="inlineStr">
        <is>
          <t>60.0x80.0x13.5"</t>
        </is>
      </c>
      <c r="E78" s="12" t="inlineStr">
        <is>
          <t>Platform</t>
        </is>
      </c>
      <c r="F78" s="13" t="inlineStr">
        <is>
          <t>WXL</t>
        </is>
      </c>
      <c r="G78" s="12" t="inlineStr">
        <is>
          <t>110gsm - 100% Polyester terry knitted fabric with 0.02mm TPUwhite coating</t>
        </is>
      </c>
      <c r="H78" s="12" t="n"/>
      <c r="I78" s="12" t="inlineStr"/>
      <c r="J78" s="12" t="inlineStr">
        <is>
          <t>100% Polyester</t>
        </is>
      </c>
      <c r="K78" s="12" t="n">
        <v>110</v>
      </c>
      <c r="L78" s="12" t="inlineStr">
        <is>
          <t>TPU coated</t>
        </is>
      </c>
      <c r="M78" s="12" t="inlineStr">
        <is>
          <t>White</t>
        </is>
      </c>
      <c r="N78" s="13" t="n">
        <v>208</v>
      </c>
      <c r="O78" s="13" t="n">
        <v>1.57</v>
      </c>
      <c r="P78" s="13" t="n">
        <v>6</v>
      </c>
      <c r="Q78" s="16">
        <f>IFERROR(O78*(1+P78/100)*VLOOKUP(B78,'1. Articles (SKUs)'!F:R,13,FALSE),"")</f>
        <v/>
      </c>
      <c r="R78" s="12" t="inlineStr"/>
      <c r="S78" s="12" t="inlineStr"/>
    </row>
    <row r="79">
      <c r="A79" s="14" t="inlineStr">
        <is>
          <t>FT9</t>
        </is>
      </c>
      <c r="B79" s="14" t="inlineStr">
        <is>
          <t>GPTE50</t>
        </is>
      </c>
      <c r="C79" s="14" t="inlineStr">
        <is>
          <t>QUEEN</t>
        </is>
      </c>
      <c r="D79" s="15" t="inlineStr">
        <is>
          <t>60.0x80.0x13.5"</t>
        </is>
      </c>
      <c r="E79" s="14" t="inlineStr">
        <is>
          <t>Bottom + Skirt</t>
        </is>
      </c>
      <c r="F79" s="15" t="inlineStr">
        <is>
          <t>WXL</t>
        </is>
      </c>
      <c r="G79" s="14" t="inlineStr">
        <is>
          <t>70gsm - 100% Polyester interlock knitted fabric in white</t>
        </is>
      </c>
      <c r="H79" s="14" t="n"/>
      <c r="I79" s="14" t="inlineStr"/>
      <c r="J79" s="14" t="inlineStr">
        <is>
          <t>100% Polyester</t>
        </is>
      </c>
      <c r="K79" s="14" t="n">
        <v>70</v>
      </c>
      <c r="L79" s="14" t="inlineStr">
        <is>
          <t>A) 0.02mmTPU PU Coating(Chinese TPU) in White Color</t>
        </is>
      </c>
      <c r="M79" s="14" t="inlineStr">
        <is>
          <t>White</t>
        </is>
      </c>
      <c r="N79" s="15" t="n">
        <v>190</v>
      </c>
      <c r="O79" s="15" t="n">
        <v>3.01</v>
      </c>
      <c r="P79" s="15" t="n">
        <v>6</v>
      </c>
      <c r="Q79" s="17">
        <f>IFERROR(O79*(1+P79/100)*VLOOKUP(B79,'1. Articles (SKUs)'!F:R,13,FALSE),"")</f>
        <v/>
      </c>
      <c r="R79" s="14" t="inlineStr"/>
      <c r="S79" s="14" t="inlineStr"/>
    </row>
    <row r="80">
      <c r="A80" s="12" t="inlineStr">
        <is>
          <t>FT9</t>
        </is>
      </c>
      <c r="B80" s="12" t="inlineStr">
        <is>
          <t>GPTE50</t>
        </is>
      </c>
      <c r="C80" s="12" t="inlineStr">
        <is>
          <t>QUEEN</t>
        </is>
      </c>
      <c r="D80" s="13" t="inlineStr">
        <is>
          <t>60.0x80.0x13.5"</t>
        </is>
      </c>
      <c r="E80" s="12" t="inlineStr">
        <is>
          <t>Piping</t>
        </is>
      </c>
      <c r="F80" s="13" t="inlineStr">
        <is>
          <t>WXL</t>
        </is>
      </c>
      <c r="G80" s="12" t="inlineStr">
        <is>
          <t>Piping fabric  - 100% Polyester satin fabric in silver color, Pantone Color - #14-4102TC</t>
        </is>
      </c>
      <c r="H80" s="12" t="n"/>
      <c r="I80" s="12" t="inlineStr"/>
      <c r="J80" s="12" t="inlineStr">
        <is>
          <t>100% Polyester</t>
        </is>
      </c>
      <c r="K80" s="12" t="n">
        <v>70</v>
      </c>
      <c r="L80" s="12" t="inlineStr"/>
      <c r="M80" s="12" t="inlineStr">
        <is>
          <t>Silver</t>
        </is>
      </c>
      <c r="N80" s="13" t="n">
        <v>180</v>
      </c>
      <c r="O80" s="13" t="n">
        <v>0.23</v>
      </c>
      <c r="P80" s="13" t="n">
        <v>6</v>
      </c>
      <c r="Q80" s="16">
        <f>IFERROR(O80*(1+P80/100)*VLOOKUP(B80,'1. Articles (SKUs)'!F:R,13,FALSE),"")</f>
        <v/>
      </c>
      <c r="R80" s="12" t="inlineStr"/>
      <c r="S80" s="12" t="inlineStr"/>
    </row>
    <row r="81">
      <c r="A81" s="14" t="inlineStr">
        <is>
          <t>FT9</t>
        </is>
      </c>
      <c r="B81" s="14" t="inlineStr">
        <is>
          <t>GPTE50</t>
        </is>
      </c>
      <c r="C81" s="14" t="inlineStr">
        <is>
          <t>QUEEN</t>
        </is>
      </c>
      <c r="D81" s="15" t="inlineStr">
        <is>
          <t>60.0x80.0x13.5"</t>
        </is>
      </c>
      <c r="E81" s="14" t="inlineStr">
        <is>
          <t>Binding</t>
        </is>
      </c>
      <c r="F81" s="15" t="inlineStr">
        <is>
          <t>WXL</t>
        </is>
      </c>
      <c r="G81" s="14" t="inlineStr">
        <is>
          <t>Bound seam fabric - 100% Polyester microfiber woven fabric in white color</t>
        </is>
      </c>
      <c r="H81" s="14" t="n"/>
      <c r="I81" s="14" t="inlineStr"/>
      <c r="J81" s="14" t="inlineStr">
        <is>
          <t>100% Polyester</t>
        </is>
      </c>
      <c r="K81" s="14" t="n">
        <v>70</v>
      </c>
      <c r="L81" s="14" t="inlineStr"/>
      <c r="M81" s="14" t="inlineStr">
        <is>
          <t>White</t>
        </is>
      </c>
      <c r="N81" s="15" t="n">
        <v>180</v>
      </c>
      <c r="O81" s="15" t="n">
        <v>0.55</v>
      </c>
      <c r="P81" s="15" t="n">
        <v>6</v>
      </c>
      <c r="Q81" s="17">
        <f>IFERROR(O81*(1+P81/100)*VLOOKUP(B81,'1. Articles (SKUs)'!F:R,13,FALSE),"")</f>
        <v/>
      </c>
      <c r="R81" s="14" t="inlineStr"/>
      <c r="S81" s="14" t="inlineStr"/>
    </row>
    <row r="82">
      <c r="A82" s="12" t="inlineStr">
        <is>
          <t>FT9</t>
        </is>
      </c>
      <c r="B82" s="12" t="inlineStr">
        <is>
          <t>GPTE78</t>
        </is>
      </c>
      <c r="C82" s="12" t="inlineStr">
        <is>
          <t>KING</t>
        </is>
      </c>
      <c r="D82" s="13" t="inlineStr">
        <is>
          <t>78.0x80.0x13.5"</t>
        </is>
      </c>
      <c r="E82" s="12" t="inlineStr">
        <is>
          <t>Platform</t>
        </is>
      </c>
      <c r="F82" s="13" t="inlineStr">
        <is>
          <t>WXL</t>
        </is>
      </c>
      <c r="G82" s="12" t="inlineStr">
        <is>
          <t>110gsm - 100% Polyester terry knitted fabric with 0.02mm TPUwhite coating</t>
        </is>
      </c>
      <c r="H82" s="12" t="n"/>
      <c r="I82" s="12" t="inlineStr"/>
      <c r="J82" s="12" t="inlineStr">
        <is>
          <t>100% Polyester</t>
        </is>
      </c>
      <c r="K82" s="12" t="n">
        <v>110</v>
      </c>
      <c r="L82" s="12" t="inlineStr">
        <is>
          <t>TPU coated</t>
        </is>
      </c>
      <c r="M82" s="12" t="inlineStr">
        <is>
          <t>White</t>
        </is>
      </c>
      <c r="N82" s="13" t="n">
        <v>208</v>
      </c>
      <c r="O82" s="13" t="n">
        <v>2.03</v>
      </c>
      <c r="P82" s="13" t="n">
        <v>6</v>
      </c>
      <c r="Q82" s="16">
        <f>IFERROR(O82*(1+P82/100)*VLOOKUP(B82,'1. Articles (SKUs)'!F:R,13,FALSE),"")</f>
        <v/>
      </c>
      <c r="R82" s="12" t="inlineStr"/>
      <c r="S82" s="12" t="inlineStr"/>
    </row>
    <row r="83">
      <c r="A83" s="14" t="inlineStr">
        <is>
          <t>FT9</t>
        </is>
      </c>
      <c r="B83" s="14" t="inlineStr">
        <is>
          <t>GPTE78</t>
        </is>
      </c>
      <c r="C83" s="14" t="inlineStr">
        <is>
          <t>KING</t>
        </is>
      </c>
      <c r="D83" s="15" t="inlineStr">
        <is>
          <t>78.0x80.0x13.5"</t>
        </is>
      </c>
      <c r="E83" s="14" t="inlineStr">
        <is>
          <t>Bottom + Skirt</t>
        </is>
      </c>
      <c r="F83" s="15" t="inlineStr">
        <is>
          <t>WXL</t>
        </is>
      </c>
      <c r="G83" s="14" t="inlineStr">
        <is>
          <t>70gsm - 100% Polyester interlock knitted fabric in white</t>
        </is>
      </c>
      <c r="H83" s="14" t="n"/>
      <c r="I83" s="14" t="inlineStr"/>
      <c r="J83" s="14" t="inlineStr">
        <is>
          <t>100% Polyester</t>
        </is>
      </c>
      <c r="K83" s="14" t="n">
        <v>70</v>
      </c>
      <c r="L83" s="14" t="inlineStr">
        <is>
          <t>A) 0.02mmTPU PU Coating(Chinese TPU) in White Color</t>
        </is>
      </c>
      <c r="M83" s="14" t="inlineStr">
        <is>
          <t>White</t>
        </is>
      </c>
      <c r="N83" s="15" t="n">
        <v>190</v>
      </c>
      <c r="O83" s="15" t="n">
        <v>3.66</v>
      </c>
      <c r="P83" s="15" t="n">
        <v>6</v>
      </c>
      <c r="Q83" s="17">
        <f>IFERROR(O83*(1+P83/100)*VLOOKUP(B83,'1. Articles (SKUs)'!F:R,13,FALSE),"")</f>
        <v/>
      </c>
      <c r="R83" s="14" t="inlineStr"/>
      <c r="S83" s="14" t="inlineStr"/>
    </row>
    <row r="84">
      <c r="A84" s="12" t="inlineStr">
        <is>
          <t>FT9</t>
        </is>
      </c>
      <c r="B84" s="12" t="inlineStr">
        <is>
          <t>GPTE78</t>
        </is>
      </c>
      <c r="C84" s="12" t="inlineStr">
        <is>
          <t>KING</t>
        </is>
      </c>
      <c r="D84" s="13" t="inlineStr">
        <is>
          <t>78.0x80.0x13.5"</t>
        </is>
      </c>
      <c r="E84" s="12" t="inlineStr">
        <is>
          <t>Piping</t>
        </is>
      </c>
      <c r="F84" s="13" t="inlineStr">
        <is>
          <t>WXL</t>
        </is>
      </c>
      <c r="G84" s="12" t="inlineStr">
        <is>
          <t>Piping fabric  - 100% Polyester satin fabric in silver color, Pantone Color - #14-4102TC</t>
        </is>
      </c>
      <c r="H84" s="12" t="n"/>
      <c r="I84" s="12" t="inlineStr"/>
      <c r="J84" s="12" t="inlineStr">
        <is>
          <t>100% Polyester</t>
        </is>
      </c>
      <c r="K84" s="12" t="n">
        <v>70</v>
      </c>
      <c r="L84" s="12" t="inlineStr"/>
      <c r="M84" s="12" t="inlineStr">
        <is>
          <t>Silver</t>
        </is>
      </c>
      <c r="N84" s="13" t="n">
        <v>180</v>
      </c>
      <c r="O84" s="13" t="n">
        <v>0.26</v>
      </c>
      <c r="P84" s="13" t="n">
        <v>6</v>
      </c>
      <c r="Q84" s="16">
        <f>IFERROR(O84*(1+P84/100)*VLOOKUP(B84,'1. Articles (SKUs)'!F:R,13,FALSE),"")</f>
        <v/>
      </c>
      <c r="R84" s="12" t="inlineStr"/>
      <c r="S84" s="12" t="inlineStr"/>
    </row>
    <row r="85">
      <c r="A85" s="14" t="inlineStr">
        <is>
          <t>FT9</t>
        </is>
      </c>
      <c r="B85" s="14" t="inlineStr">
        <is>
          <t>GPTE78</t>
        </is>
      </c>
      <c r="C85" s="14" t="inlineStr">
        <is>
          <t>KING</t>
        </is>
      </c>
      <c r="D85" s="15" t="inlineStr">
        <is>
          <t>78.0x80.0x13.5"</t>
        </is>
      </c>
      <c r="E85" s="14" t="inlineStr">
        <is>
          <t>Binding</t>
        </is>
      </c>
      <c r="F85" s="15" t="inlineStr">
        <is>
          <t>WXL</t>
        </is>
      </c>
      <c r="G85" s="14" t="inlineStr">
        <is>
          <t>Bound seam fabric - 100% Polyester microfiber woven fabric in white color</t>
        </is>
      </c>
      <c r="H85" s="14" t="n"/>
      <c r="I85" s="14" t="inlineStr"/>
      <c r="J85" s="14" t="inlineStr">
        <is>
          <t>100% Polyester</t>
        </is>
      </c>
      <c r="K85" s="14" t="n">
        <v>70</v>
      </c>
      <c r="L85" s="14" t="inlineStr"/>
      <c r="M85" s="14" t="inlineStr">
        <is>
          <t>White</t>
        </is>
      </c>
      <c r="N85" s="15" t="n">
        <v>180</v>
      </c>
      <c r="O85" s="15" t="n">
        <v>0.61</v>
      </c>
      <c r="P85" s="15" t="n">
        <v>6</v>
      </c>
      <c r="Q85" s="17">
        <f>IFERROR(O85*(1+P85/100)*VLOOKUP(B85,'1. Articles (SKUs)'!F:R,13,FALSE),"")</f>
        <v/>
      </c>
      <c r="R85" s="14" t="inlineStr"/>
      <c r="S85" s="14" t="inlineStr"/>
    </row>
    <row r="86">
      <c r="A86" s="12" t="inlineStr">
        <is>
          <t>FT9</t>
        </is>
      </c>
      <c r="B86" s="12" t="inlineStr">
        <is>
          <t>GPTE72</t>
        </is>
      </c>
      <c r="C86" s="12" t="inlineStr">
        <is>
          <t>CAL KING</t>
        </is>
      </c>
      <c r="D86" s="13" t="inlineStr">
        <is>
          <t>72.0x84.0x13.5"</t>
        </is>
      </c>
      <c r="E86" s="12" t="inlineStr">
        <is>
          <t>Platform</t>
        </is>
      </c>
      <c r="F86" s="13" t="inlineStr">
        <is>
          <t>WXL</t>
        </is>
      </c>
      <c r="G86" s="12" t="inlineStr">
        <is>
          <t>110gsm - 100% Polyester terry knitted fabric with 0.02mm TPUwhite coating</t>
        </is>
      </c>
      <c r="H86" s="12" t="n"/>
      <c r="I86" s="12" t="inlineStr"/>
      <c r="J86" s="12" t="inlineStr">
        <is>
          <t>100% Polyester</t>
        </is>
      </c>
      <c r="K86" s="12" t="n">
        <v>110</v>
      </c>
      <c r="L86" s="12" t="inlineStr">
        <is>
          <t>TPU coated</t>
        </is>
      </c>
      <c r="M86" s="12" t="inlineStr">
        <is>
          <t>White</t>
        </is>
      </c>
      <c r="N86" s="13" t="n">
        <v>208</v>
      </c>
      <c r="O86" s="13" t="n">
        <v>2.18</v>
      </c>
      <c r="P86" s="13" t="n">
        <v>6</v>
      </c>
      <c r="Q86" s="16">
        <f>IFERROR(O86*(1+P86/100)*VLOOKUP(B86,'1. Articles (SKUs)'!F:R,13,FALSE),"")</f>
        <v/>
      </c>
      <c r="R86" s="12" t="inlineStr"/>
      <c r="S86" s="12" t="inlineStr"/>
    </row>
    <row r="87">
      <c r="A87" s="14" t="inlineStr">
        <is>
          <t>FT9</t>
        </is>
      </c>
      <c r="B87" s="14" t="inlineStr">
        <is>
          <t>GPTE72</t>
        </is>
      </c>
      <c r="C87" s="14" t="inlineStr">
        <is>
          <t>CAL KING</t>
        </is>
      </c>
      <c r="D87" s="15" t="inlineStr">
        <is>
          <t>72.0x84.0x13.5"</t>
        </is>
      </c>
      <c r="E87" s="14" t="inlineStr">
        <is>
          <t>Bottom + Skirt</t>
        </is>
      </c>
      <c r="F87" s="15" t="inlineStr">
        <is>
          <t>WXL</t>
        </is>
      </c>
      <c r="G87" s="14" t="inlineStr">
        <is>
          <t>70gsm - 100% Polyester interlock knitted fabric in white</t>
        </is>
      </c>
      <c r="H87" s="14" t="n"/>
      <c r="I87" s="14" t="inlineStr"/>
      <c r="J87" s="14" t="inlineStr">
        <is>
          <t>100% Polyester</t>
        </is>
      </c>
      <c r="K87" s="14" t="n">
        <v>70</v>
      </c>
      <c r="L87" s="14" t="inlineStr">
        <is>
          <t>A) 0.02mmTPU PU Coating(Chinese TPU) in White Color</t>
        </is>
      </c>
      <c r="M87" s="14" t="inlineStr">
        <is>
          <t>White</t>
        </is>
      </c>
      <c r="N87" s="15" t="n">
        <v>190</v>
      </c>
      <c r="O87" s="15" t="n">
        <v>3.79</v>
      </c>
      <c r="P87" s="15" t="n">
        <v>6</v>
      </c>
      <c r="Q87" s="17">
        <f>IFERROR(O87*(1+P87/100)*VLOOKUP(B87,'1. Articles (SKUs)'!F:R,13,FALSE),"")</f>
        <v/>
      </c>
      <c r="R87" s="14" t="inlineStr"/>
      <c r="S87" s="14" t="inlineStr"/>
    </row>
    <row r="88">
      <c r="A88" s="12" t="inlineStr">
        <is>
          <t>FT9</t>
        </is>
      </c>
      <c r="B88" s="12" t="inlineStr">
        <is>
          <t>GPTE72</t>
        </is>
      </c>
      <c r="C88" s="12" t="inlineStr">
        <is>
          <t>CAL KING</t>
        </is>
      </c>
      <c r="D88" s="13" t="inlineStr">
        <is>
          <t>72.0x84.0x13.5"</t>
        </is>
      </c>
      <c r="E88" s="12" t="inlineStr">
        <is>
          <t>Piping</t>
        </is>
      </c>
      <c r="F88" s="13" t="inlineStr">
        <is>
          <t>WXL</t>
        </is>
      </c>
      <c r="G88" s="12" t="inlineStr">
        <is>
          <t>Piping fabric  - 100% Polyester satin fabric in silver color, Pantone Color - #14-4102TC</t>
        </is>
      </c>
      <c r="H88" s="12" t="n"/>
      <c r="I88" s="12" t="inlineStr"/>
      <c r="J88" s="12" t="inlineStr">
        <is>
          <t>100% Polyester</t>
        </is>
      </c>
      <c r="K88" s="12" t="n">
        <v>70</v>
      </c>
      <c r="L88" s="12" t="inlineStr"/>
      <c r="M88" s="12" t="inlineStr">
        <is>
          <t>Silver</t>
        </is>
      </c>
      <c r="N88" s="13" t="n">
        <v>180</v>
      </c>
      <c r="O88" s="13" t="n">
        <v>0.26</v>
      </c>
      <c r="P88" s="13" t="n">
        <v>6</v>
      </c>
      <c r="Q88" s="16">
        <f>IFERROR(O88*(1+P88/100)*VLOOKUP(B88,'1. Articles (SKUs)'!F:R,13,FALSE),"")</f>
        <v/>
      </c>
      <c r="R88" s="12" t="inlineStr"/>
      <c r="S88" s="12" t="inlineStr"/>
    </row>
    <row r="89">
      <c r="A89" s="14" t="inlineStr">
        <is>
          <t>FT9</t>
        </is>
      </c>
      <c r="B89" s="14" t="inlineStr">
        <is>
          <t>GPTE72</t>
        </is>
      </c>
      <c r="C89" s="14" t="inlineStr">
        <is>
          <t>CAL KING</t>
        </is>
      </c>
      <c r="D89" s="15" t="inlineStr">
        <is>
          <t>72.0x84.0x13.5"</t>
        </is>
      </c>
      <c r="E89" s="14" t="inlineStr">
        <is>
          <t>Binding</t>
        </is>
      </c>
      <c r="F89" s="15" t="inlineStr">
        <is>
          <t>WXL</t>
        </is>
      </c>
      <c r="G89" s="14" t="inlineStr">
        <is>
          <t>Bound seam fabric - 100% Polyester microfiber woven fabric in white color</t>
        </is>
      </c>
      <c r="H89" s="14" t="n"/>
      <c r="I89" s="14" t="inlineStr"/>
      <c r="J89" s="14" t="inlineStr">
        <is>
          <t>100% Polyester</t>
        </is>
      </c>
      <c r="K89" s="14" t="n">
        <v>70</v>
      </c>
      <c r="L89" s="14" t="inlineStr"/>
      <c r="M89" s="14" t="inlineStr">
        <is>
          <t>White</t>
        </is>
      </c>
      <c r="N89" s="15" t="n">
        <v>180</v>
      </c>
      <c r="O89" s="15" t="n">
        <v>0.61</v>
      </c>
      <c r="P89" s="15" t="n">
        <v>6</v>
      </c>
      <c r="Q89" s="17">
        <f>IFERROR(O89*(1+P89/100)*VLOOKUP(B89,'1. Articles (SKUs)'!F:R,13,FALSE),"")</f>
        <v/>
      </c>
      <c r="R89" s="14" t="inlineStr"/>
      <c r="S89" s="14" t="inlineStr"/>
    </row>
    <row r="90">
      <c r="A90" s="12" t="inlineStr">
        <is>
          <t>FT9</t>
        </is>
      </c>
      <c r="B90" s="12" t="inlineStr">
        <is>
          <t>GPTE36</t>
        </is>
      </c>
      <c r="C90" s="12" t="inlineStr">
        <is>
          <t>SP CAL KING</t>
        </is>
      </c>
      <c r="D90" s="13" t="inlineStr">
        <is>
          <t>36.0x84.0x13.5"</t>
        </is>
      </c>
      <c r="E90" s="12" t="inlineStr">
        <is>
          <t>Platform</t>
        </is>
      </c>
      <c r="F90" s="13" t="inlineStr">
        <is>
          <t>WXL</t>
        </is>
      </c>
      <c r="G90" s="12" t="inlineStr">
        <is>
          <t>110gsm - 100% Polyester terry knitted fabric with 0.02mm TPUwhite coating</t>
        </is>
      </c>
      <c r="H90" s="12" t="n"/>
      <c r="I90" s="12" t="inlineStr"/>
      <c r="J90" s="12" t="inlineStr"/>
      <c r="K90" s="12" t="n">
        <v>110</v>
      </c>
      <c r="L90" s="12" t="inlineStr">
        <is>
          <t>A) 0.02mmTPU PU Coating(Chinese TPU) in White Color  B)  SILVADUR (TM) 930 Antimicrobial ‐ PRN 98‐10                                                                                      C) Wick Away Treatment on Top Platform – TK-N02</t>
        </is>
      </c>
      <c r="M90" s="12" t="inlineStr">
        <is>
          <t>White</t>
        </is>
      </c>
      <c r="N90" s="12" t="n"/>
      <c r="O90" s="12" t="n"/>
      <c r="P90" s="12" t="n"/>
      <c r="Q90" s="16">
        <f>IFERROR(O90*(1+P90/100)*VLOOKUP(B90,'1. Articles (SKUs)'!F:R,13,FALSE),"")</f>
        <v/>
      </c>
      <c r="R90" s="12" t="inlineStr"/>
      <c r="S90" s="12" t="inlineStr"/>
    </row>
    <row r="91">
      <c r="A91" s="14" t="inlineStr">
        <is>
          <t>FT9</t>
        </is>
      </c>
      <c r="B91" s="14" t="inlineStr">
        <is>
          <t>GPTE36</t>
        </is>
      </c>
      <c r="C91" s="14" t="inlineStr">
        <is>
          <t>SP CAL KING</t>
        </is>
      </c>
      <c r="D91" s="15" t="inlineStr">
        <is>
          <t>36.0x84.0x13.5"</t>
        </is>
      </c>
      <c r="E91" s="14" t="inlineStr">
        <is>
          <t>Bottom + Skirt</t>
        </is>
      </c>
      <c r="F91" s="15" t="inlineStr">
        <is>
          <t>WXL</t>
        </is>
      </c>
      <c r="G91" s="14" t="inlineStr">
        <is>
          <t>70gsm - 100% Polyester interlock knitted fabric in white</t>
        </is>
      </c>
      <c r="H91" s="14" t="n"/>
      <c r="I91" s="14" t="inlineStr"/>
      <c r="J91" s="14" t="inlineStr"/>
      <c r="K91" s="14" t="n">
        <v>70</v>
      </c>
      <c r="L91" s="14" t="inlineStr">
        <is>
          <t>A) 0.02mmTPU PU Coating(Chinese TPU) in White Color</t>
        </is>
      </c>
      <c r="M91" s="14" t="inlineStr">
        <is>
          <t>White</t>
        </is>
      </c>
      <c r="N91" s="14" t="n"/>
      <c r="O91" s="14" t="n"/>
      <c r="P91" s="14" t="n"/>
      <c r="Q91" s="17">
        <f>IFERROR(O91*(1+P91/100)*VLOOKUP(B91,'1. Articles (SKUs)'!F:R,13,FALSE),"")</f>
        <v/>
      </c>
      <c r="R91" s="14" t="inlineStr"/>
      <c r="S91" s="14" t="inlineStr"/>
    </row>
    <row r="92">
      <c r="A92" s="12" t="inlineStr">
        <is>
          <t>FT9</t>
        </is>
      </c>
      <c r="B92" s="12" t="inlineStr">
        <is>
          <t>GPTE36</t>
        </is>
      </c>
      <c r="C92" s="12" t="inlineStr">
        <is>
          <t>SP CAL KING</t>
        </is>
      </c>
      <c r="D92" s="13" t="inlineStr">
        <is>
          <t>36.0x84.0x13.5"</t>
        </is>
      </c>
      <c r="E92" s="12" t="inlineStr">
        <is>
          <t>Piping</t>
        </is>
      </c>
      <c r="F92" s="13" t="inlineStr">
        <is>
          <t>WXL</t>
        </is>
      </c>
      <c r="G92" s="12" t="inlineStr">
        <is>
          <t>Piping fabric  - 100% Polyester satin fabric in silver color, Pantone Color - #14-4102TC</t>
        </is>
      </c>
      <c r="H92" s="12" t="n"/>
      <c r="I92" s="12" t="inlineStr"/>
      <c r="J92" s="12" t="inlineStr"/>
      <c r="K92" s="12" t="n">
        <v>70</v>
      </c>
      <c r="L92" s="12" t="inlineStr"/>
      <c r="M92" s="12" t="inlineStr">
        <is>
          <t>Silver</t>
        </is>
      </c>
      <c r="N92" s="12" t="n"/>
      <c r="O92" s="12" t="n"/>
      <c r="P92" s="12" t="n"/>
      <c r="Q92" s="16">
        <f>IFERROR(O92*(1+P92/100)*VLOOKUP(B92,'1. Articles (SKUs)'!F:R,13,FALSE),"")</f>
        <v/>
      </c>
      <c r="R92" s="12" t="inlineStr"/>
      <c r="S92" s="12" t="inlineStr"/>
    </row>
    <row r="93">
      <c r="A93" s="14" t="inlineStr">
        <is>
          <t>FT9</t>
        </is>
      </c>
      <c r="B93" s="14" t="inlineStr">
        <is>
          <t>GPTE36</t>
        </is>
      </c>
      <c r="C93" s="14" t="inlineStr">
        <is>
          <t>SP CAL KING</t>
        </is>
      </c>
      <c r="D93" s="15" t="inlineStr">
        <is>
          <t>36.0x84.0x13.5"</t>
        </is>
      </c>
      <c r="E93" s="14" t="inlineStr">
        <is>
          <t>Binding</t>
        </is>
      </c>
      <c r="F93" s="15" t="inlineStr">
        <is>
          <t>WXL</t>
        </is>
      </c>
      <c r="G93" s="14" t="inlineStr">
        <is>
          <t>Bound seam fabric - 100% Polyester microfiber woven fabric in white color</t>
        </is>
      </c>
      <c r="H93" s="14" t="n"/>
      <c r="I93" s="14" t="inlineStr"/>
      <c r="J93" s="14" t="inlineStr"/>
      <c r="K93" s="14" t="n">
        <v>70</v>
      </c>
      <c r="L93" s="14" t="inlineStr"/>
      <c r="M93" s="14" t="inlineStr">
        <is>
          <t>White</t>
        </is>
      </c>
      <c r="N93" s="14" t="n"/>
      <c r="O93" s="14" t="n"/>
      <c r="P93" s="14" t="n"/>
      <c r="Q93" s="17">
        <f>IFERROR(O93*(1+P93/100)*VLOOKUP(B93,'1. Articles (SKUs)'!F:R,13,FALSE),"")</f>
        <v/>
      </c>
      <c r="R93" s="14" t="inlineStr"/>
      <c r="S93" s="14" t="inlineStr"/>
    </row>
    <row r="94">
      <c r="A94" s="12" t="inlineStr">
        <is>
          <t>FT9</t>
        </is>
      </c>
      <c r="B94" s="12" t="inlineStr">
        <is>
          <t>GPTE52</t>
        </is>
      </c>
      <c r="C94" s="12" t="inlineStr">
        <is>
          <t>SPLIT HEAD QUEEN</t>
        </is>
      </c>
      <c r="D94" s="13" t="inlineStr">
        <is>
          <t>60.0x80.0x13.5"</t>
        </is>
      </c>
      <c r="E94" s="12" t="inlineStr">
        <is>
          <t>Platform</t>
        </is>
      </c>
      <c r="F94" s="13" t="inlineStr">
        <is>
          <t>WXL</t>
        </is>
      </c>
      <c r="G94" s="12" t="inlineStr">
        <is>
          <t>110gsm - 100% Polyester terry knitted fabric with 0.02mm TPUwhite coating</t>
        </is>
      </c>
      <c r="H94" s="12" t="n"/>
      <c r="I94" s="12" t="inlineStr"/>
      <c r="J94" s="12" t="inlineStr">
        <is>
          <t>100% Polyester</t>
        </is>
      </c>
      <c r="K94" s="12" t="n">
        <v>110</v>
      </c>
      <c r="L94" s="12" t="inlineStr">
        <is>
          <t>TPU coated</t>
        </is>
      </c>
      <c r="M94" s="12" t="inlineStr">
        <is>
          <t>White</t>
        </is>
      </c>
      <c r="N94" s="13" t="n">
        <v>208</v>
      </c>
      <c r="O94" s="13" t="n">
        <v>1.63</v>
      </c>
      <c r="P94" s="13" t="n">
        <v>6</v>
      </c>
      <c r="Q94" s="16">
        <f>IFERROR(O94*(1+P94/100)*VLOOKUP(B94,'1. Articles (SKUs)'!F:R,13,FALSE),"")</f>
        <v/>
      </c>
      <c r="R94" s="12" t="inlineStr"/>
      <c r="S94" s="12" t="inlineStr"/>
    </row>
    <row r="95">
      <c r="A95" s="14" t="inlineStr">
        <is>
          <t>FT9</t>
        </is>
      </c>
      <c r="B95" s="14" t="inlineStr">
        <is>
          <t>GPTE52</t>
        </is>
      </c>
      <c r="C95" s="14" t="inlineStr">
        <is>
          <t>SPLIT HEAD QUEEN</t>
        </is>
      </c>
      <c r="D95" s="15" t="inlineStr">
        <is>
          <t>60.0x80.0x13.5"</t>
        </is>
      </c>
      <c r="E95" s="14" t="inlineStr">
        <is>
          <t>Bottom + Skirt</t>
        </is>
      </c>
      <c r="F95" s="15" t="inlineStr">
        <is>
          <t>WXL</t>
        </is>
      </c>
      <c r="G95" s="14" t="inlineStr">
        <is>
          <t>70gsm - 100% Polyester interlock knitted fabric in white</t>
        </is>
      </c>
      <c r="H95" s="14" t="n"/>
      <c r="I95" s="14" t="inlineStr"/>
      <c r="J95" s="14" t="inlineStr">
        <is>
          <t>100% Polyester</t>
        </is>
      </c>
      <c r="K95" s="14" t="n">
        <v>70</v>
      </c>
      <c r="L95" s="14" t="inlineStr">
        <is>
          <t>A) 0.02mmTPU PU Coating(Chinese TPU) in White Color</t>
        </is>
      </c>
      <c r="M95" s="14" t="inlineStr">
        <is>
          <t>White</t>
        </is>
      </c>
      <c r="N95" s="15" t="n">
        <v>190</v>
      </c>
      <c r="O95" s="15" t="n">
        <v>3.43</v>
      </c>
      <c r="P95" s="15" t="n">
        <v>6</v>
      </c>
      <c r="Q95" s="17">
        <f>IFERROR(O95*(1+P95/100)*VLOOKUP(B95,'1. Articles (SKUs)'!F:R,13,FALSE),"")</f>
        <v/>
      </c>
      <c r="R95" s="14" t="inlineStr"/>
      <c r="S95" s="14" t="inlineStr"/>
    </row>
    <row r="96">
      <c r="A96" s="12" t="inlineStr">
        <is>
          <t>FT9</t>
        </is>
      </c>
      <c r="B96" s="12" t="inlineStr">
        <is>
          <t>GPTE52</t>
        </is>
      </c>
      <c r="C96" s="12" t="inlineStr">
        <is>
          <t>SPLIT HEAD QUEEN</t>
        </is>
      </c>
      <c r="D96" s="13" t="inlineStr">
        <is>
          <t>60.0x80.0x13.5"</t>
        </is>
      </c>
      <c r="E96" s="12" t="inlineStr">
        <is>
          <t>Piping</t>
        </is>
      </c>
      <c r="F96" s="13" t="inlineStr">
        <is>
          <t>WXL</t>
        </is>
      </c>
      <c r="G96" s="12" t="inlineStr">
        <is>
          <t>Piping fabric  - 100% Polyester satin fabric in silver color, Pantone Color - #14-4102TC</t>
        </is>
      </c>
      <c r="H96" s="12" t="n"/>
      <c r="I96" s="12" t="inlineStr"/>
      <c r="J96" s="12" t="inlineStr">
        <is>
          <t>100% Polyester</t>
        </is>
      </c>
      <c r="K96" s="12" t="n">
        <v>70</v>
      </c>
      <c r="L96" s="12" t="inlineStr"/>
      <c r="M96" s="12" t="inlineStr">
        <is>
          <t>Silver</t>
        </is>
      </c>
      <c r="N96" s="13" t="n">
        <v>180</v>
      </c>
      <c r="O96" s="13" t="n">
        <v>0.29</v>
      </c>
      <c r="P96" s="13" t="n">
        <v>6</v>
      </c>
      <c r="Q96" s="16">
        <f>IFERROR(O96*(1+P96/100)*VLOOKUP(B96,'1. Articles (SKUs)'!F:R,13,FALSE),"")</f>
        <v/>
      </c>
      <c r="R96" s="12" t="inlineStr"/>
      <c r="S96" s="12" t="inlineStr"/>
    </row>
    <row r="97">
      <c r="A97" s="14" t="inlineStr">
        <is>
          <t>FT9</t>
        </is>
      </c>
      <c r="B97" s="14" t="inlineStr">
        <is>
          <t>GPTE52</t>
        </is>
      </c>
      <c r="C97" s="14" t="inlineStr">
        <is>
          <t>SPLIT HEAD QUEEN</t>
        </is>
      </c>
      <c r="D97" s="15" t="inlineStr">
        <is>
          <t>60.0x80.0x13.5"</t>
        </is>
      </c>
      <c r="E97" s="14" t="inlineStr">
        <is>
          <t>Binding</t>
        </is>
      </c>
      <c r="F97" s="15" t="inlineStr">
        <is>
          <t>WXL</t>
        </is>
      </c>
      <c r="G97" s="14" t="inlineStr">
        <is>
          <t>Bound seam fabric - 100% Polyester microfiber woven fabric in white color</t>
        </is>
      </c>
      <c r="H97" s="14" t="n"/>
      <c r="I97" s="14" t="inlineStr"/>
      <c r="J97" s="14" t="inlineStr">
        <is>
          <t>100% Polyester</t>
        </is>
      </c>
      <c r="K97" s="14" t="n">
        <v>70</v>
      </c>
      <c r="L97" s="14" t="inlineStr"/>
      <c r="M97" s="14" t="inlineStr">
        <is>
          <t>White</t>
        </is>
      </c>
      <c r="N97" s="15" t="n">
        <v>180</v>
      </c>
      <c r="O97" s="15" t="n">
        <v>0.63</v>
      </c>
      <c r="P97" s="15" t="n">
        <v>6</v>
      </c>
      <c r="Q97" s="17">
        <f>IFERROR(O97*(1+P97/100)*VLOOKUP(B97,'1. Articles (SKUs)'!F:R,13,FALSE),"")</f>
        <v/>
      </c>
      <c r="R97" s="14" t="inlineStr"/>
      <c r="S97" s="14" t="inlineStr"/>
    </row>
    <row r="98">
      <c r="A98" s="12" t="inlineStr">
        <is>
          <t>FT9</t>
        </is>
      </c>
      <c r="B98" s="12" t="inlineStr">
        <is>
          <t>GPTE79</t>
        </is>
      </c>
      <c r="C98" s="12" t="inlineStr">
        <is>
          <t>SPLIT HEAD KING</t>
        </is>
      </c>
      <c r="D98" s="13" t="inlineStr">
        <is>
          <t>78.0x80.0x13.5"</t>
        </is>
      </c>
      <c r="E98" s="12" t="inlineStr">
        <is>
          <t>Platform</t>
        </is>
      </c>
      <c r="F98" s="13" t="inlineStr">
        <is>
          <t>WXL</t>
        </is>
      </c>
      <c r="G98" s="12" t="inlineStr">
        <is>
          <t>110gsm - 100% Polyester terry knitted fabric with 0.02mm TPUwhite coating</t>
        </is>
      </c>
      <c r="H98" s="12" t="n"/>
      <c r="I98" s="12" t="inlineStr"/>
      <c r="J98" s="12" t="inlineStr">
        <is>
          <t>100% Polyester</t>
        </is>
      </c>
      <c r="K98" s="12" t="n">
        <v>110</v>
      </c>
      <c r="L98" s="12" t="inlineStr">
        <is>
          <t>TPU coated</t>
        </is>
      </c>
      <c r="M98" s="12" t="inlineStr">
        <is>
          <t>White</t>
        </is>
      </c>
      <c r="N98" s="13" t="n">
        <v>208</v>
      </c>
      <c r="O98" s="13" t="n">
        <v>2.08</v>
      </c>
      <c r="P98" s="13" t="n">
        <v>6</v>
      </c>
      <c r="Q98" s="16">
        <f>IFERROR(O98*(1+P98/100)*VLOOKUP(B98,'1. Articles (SKUs)'!F:R,13,FALSE),"")</f>
        <v/>
      </c>
      <c r="R98" s="12" t="inlineStr"/>
      <c r="S98" s="12" t="inlineStr"/>
    </row>
    <row r="99">
      <c r="A99" s="14" t="inlineStr">
        <is>
          <t>FT9</t>
        </is>
      </c>
      <c r="B99" s="14" t="inlineStr">
        <is>
          <t>GPTE79</t>
        </is>
      </c>
      <c r="C99" s="14" t="inlineStr">
        <is>
          <t>SPLIT HEAD KING</t>
        </is>
      </c>
      <c r="D99" s="15" t="inlineStr">
        <is>
          <t>78.0x80.0x13.5"</t>
        </is>
      </c>
      <c r="E99" s="14" t="inlineStr">
        <is>
          <t>Bottom + Skirt</t>
        </is>
      </c>
      <c r="F99" s="15" t="inlineStr">
        <is>
          <t>WXL</t>
        </is>
      </c>
      <c r="G99" s="14" t="inlineStr">
        <is>
          <t>70gsm - 100% Polyester interlock knitted fabric in white</t>
        </is>
      </c>
      <c r="H99" s="14" t="n"/>
      <c r="I99" s="14" t="inlineStr"/>
      <c r="J99" s="14" t="inlineStr">
        <is>
          <t>100% Polyester</t>
        </is>
      </c>
      <c r="K99" s="14" t="n">
        <v>70</v>
      </c>
      <c r="L99" s="14" t="inlineStr">
        <is>
          <t>A) 0.02mmTPU PU Coating(Chinese TPU) in White Color</t>
        </is>
      </c>
      <c r="M99" s="14" t="inlineStr">
        <is>
          <t>White</t>
        </is>
      </c>
      <c r="N99" s="15" t="n">
        <v>190</v>
      </c>
      <c r="O99" s="15" t="n">
        <v>4.06</v>
      </c>
      <c r="P99" s="15" t="n">
        <v>6</v>
      </c>
      <c r="Q99" s="17">
        <f>IFERROR(O99*(1+P99/100)*VLOOKUP(B99,'1. Articles (SKUs)'!F:R,13,FALSE),"")</f>
        <v/>
      </c>
      <c r="R99" s="14" t="inlineStr"/>
      <c r="S99" s="14" t="inlineStr"/>
    </row>
    <row r="100">
      <c r="A100" s="12" t="inlineStr">
        <is>
          <t>FT9</t>
        </is>
      </c>
      <c r="B100" s="12" t="inlineStr">
        <is>
          <t>GPTE79</t>
        </is>
      </c>
      <c r="C100" s="12" t="inlineStr">
        <is>
          <t>SPLIT HEAD KING</t>
        </is>
      </c>
      <c r="D100" s="13" t="inlineStr">
        <is>
          <t>78.0x80.0x13.5"</t>
        </is>
      </c>
      <c r="E100" s="12" t="inlineStr">
        <is>
          <t>Piping</t>
        </is>
      </c>
      <c r="F100" s="13" t="inlineStr">
        <is>
          <t>WXL</t>
        </is>
      </c>
      <c r="G100" s="12" t="inlineStr">
        <is>
          <t>Piping fabric  - 100% Polyester satin fabric in silver color, Pantone Color - #14-4102TC</t>
        </is>
      </c>
      <c r="H100" s="12" t="n"/>
      <c r="I100" s="12" t="inlineStr"/>
      <c r="J100" s="12" t="inlineStr">
        <is>
          <t>100% Polyester</t>
        </is>
      </c>
      <c r="K100" s="12" t="n">
        <v>70</v>
      </c>
      <c r="L100" s="12" t="inlineStr"/>
      <c r="M100" s="12" t="inlineStr">
        <is>
          <t>Silver</t>
        </is>
      </c>
      <c r="N100" s="13" t="n">
        <v>180</v>
      </c>
      <c r="O100" s="13" t="n">
        <v>0.31</v>
      </c>
      <c r="P100" s="13" t="n">
        <v>6</v>
      </c>
      <c r="Q100" s="16">
        <f>IFERROR(O100*(1+P100/100)*VLOOKUP(B100,'1. Articles (SKUs)'!F:R,13,FALSE),"")</f>
        <v/>
      </c>
      <c r="R100" s="12" t="inlineStr"/>
      <c r="S100" s="12" t="inlineStr"/>
    </row>
    <row r="101">
      <c r="A101" s="14" t="inlineStr">
        <is>
          <t>FT9</t>
        </is>
      </c>
      <c r="B101" s="14" t="inlineStr">
        <is>
          <t>GPTE79</t>
        </is>
      </c>
      <c r="C101" s="14" t="inlineStr">
        <is>
          <t>SPLIT HEAD KING</t>
        </is>
      </c>
      <c r="D101" s="15" t="inlineStr">
        <is>
          <t>78.0x80.0x13.5"</t>
        </is>
      </c>
      <c r="E101" s="14" t="inlineStr">
        <is>
          <t>Binding</t>
        </is>
      </c>
      <c r="F101" s="15" t="inlineStr">
        <is>
          <t>WXL</t>
        </is>
      </c>
      <c r="G101" s="14" t="inlineStr">
        <is>
          <t>Bound seam fabric - 100% Polyester microfiber woven fabric in white color</t>
        </is>
      </c>
      <c r="H101" s="14" t="n"/>
      <c r="I101" s="14" t="inlineStr"/>
      <c r="J101" s="14" t="inlineStr">
        <is>
          <t>100% Polyester</t>
        </is>
      </c>
      <c r="K101" s="14" t="n">
        <v>70</v>
      </c>
      <c r="L101" s="14" t="inlineStr"/>
      <c r="M101" s="14" t="inlineStr">
        <is>
          <t>White</t>
        </is>
      </c>
      <c r="N101" s="15" t="n">
        <v>180</v>
      </c>
      <c r="O101" s="15" t="n">
        <v>0.7</v>
      </c>
      <c r="P101" s="15" t="n">
        <v>6</v>
      </c>
      <c r="Q101" s="17">
        <f>IFERROR(O101*(1+P101/100)*VLOOKUP(B101,'1. Articles (SKUs)'!F:R,13,FALSE),"")</f>
        <v/>
      </c>
      <c r="R101" s="14" t="inlineStr"/>
      <c r="S101" s="14" t="inlineStr"/>
    </row>
    <row r="102">
      <c r="A102" s="12" t="inlineStr">
        <is>
          <t>FT9</t>
        </is>
      </c>
      <c r="B102" s="12" t="inlineStr">
        <is>
          <t>GPSE33</t>
        </is>
      </c>
      <c r="C102" s="12" t="inlineStr">
        <is>
          <t>SLEEPER - TWIN</t>
        </is>
      </c>
      <c r="D102" s="13" t="inlineStr">
        <is>
          <t>34.0x73.0x5.0"</t>
        </is>
      </c>
      <c r="E102" s="12" t="inlineStr">
        <is>
          <t>Platform</t>
        </is>
      </c>
      <c r="F102" s="13" t="inlineStr">
        <is>
          <t>WXL</t>
        </is>
      </c>
      <c r="G102" s="12" t="inlineStr">
        <is>
          <t>110gsm - 100% Polyester terry knitted fabric with 0.02mm TPUwhite coating</t>
        </is>
      </c>
      <c r="H102" s="12" t="n"/>
      <c r="I102" s="12" t="inlineStr"/>
      <c r="J102" s="12" t="inlineStr">
        <is>
          <t>100% Polyester</t>
        </is>
      </c>
      <c r="K102" s="12" t="n">
        <v>110</v>
      </c>
      <c r="L102" s="12" t="inlineStr">
        <is>
          <t>TPU coated</t>
        </is>
      </c>
      <c r="M102" s="12" t="inlineStr">
        <is>
          <t>White</t>
        </is>
      </c>
      <c r="N102" s="13" t="n">
        <v>208</v>
      </c>
      <c r="O102" s="13" t="n">
        <v>0.91</v>
      </c>
      <c r="P102" s="13" t="n">
        <v>6</v>
      </c>
      <c r="Q102" s="16">
        <f>IFERROR(O102*(1+P102/100)*VLOOKUP(B102,'1. Articles (SKUs)'!F:R,13,FALSE),"")</f>
        <v/>
      </c>
      <c r="R102" s="12" t="inlineStr"/>
      <c r="S102" s="12" t="inlineStr"/>
    </row>
    <row r="103">
      <c r="A103" s="14" t="inlineStr">
        <is>
          <t>FT9</t>
        </is>
      </c>
      <c r="B103" s="14" t="inlineStr">
        <is>
          <t>GPSE33</t>
        </is>
      </c>
      <c r="C103" s="14" t="inlineStr">
        <is>
          <t>SLEEPER - TWIN</t>
        </is>
      </c>
      <c r="D103" s="15" t="inlineStr">
        <is>
          <t>34.0x73.0x5.0"</t>
        </is>
      </c>
      <c r="E103" s="14" t="inlineStr">
        <is>
          <t>Bottom + Skirt</t>
        </is>
      </c>
      <c r="F103" s="15" t="inlineStr">
        <is>
          <t>WXL</t>
        </is>
      </c>
      <c r="G103" s="14" t="inlineStr">
        <is>
          <t>70gsm - 100% Polyester interlock knitted fabric in white</t>
        </is>
      </c>
      <c r="H103" s="14" t="n"/>
      <c r="I103" s="14" t="inlineStr"/>
      <c r="J103" s="14" t="inlineStr">
        <is>
          <t>100% Polyester</t>
        </is>
      </c>
      <c r="K103" s="14" t="n">
        <v>70</v>
      </c>
      <c r="L103" s="14" t="inlineStr">
        <is>
          <t>A) 0.02mmTPU PU Coating(Chinese TPU) in White Color</t>
        </is>
      </c>
      <c r="M103" s="14" t="inlineStr">
        <is>
          <t>White</t>
        </is>
      </c>
      <c r="N103" s="15" t="n">
        <v>190</v>
      </c>
      <c r="O103" s="15" t="n">
        <v>1.41</v>
      </c>
      <c r="P103" s="15" t="n">
        <v>6</v>
      </c>
      <c r="Q103" s="17">
        <f>IFERROR(O103*(1+P103/100)*VLOOKUP(B103,'1. Articles (SKUs)'!F:R,13,FALSE),"")</f>
        <v/>
      </c>
      <c r="R103" s="14" t="inlineStr"/>
      <c r="S103" s="14" t="inlineStr"/>
    </row>
    <row r="104">
      <c r="A104" s="12" t="inlineStr">
        <is>
          <t>FT9</t>
        </is>
      </c>
      <c r="B104" s="12" t="inlineStr">
        <is>
          <t>GPSE33</t>
        </is>
      </c>
      <c r="C104" s="12" t="inlineStr">
        <is>
          <t>SLEEPER - TWIN</t>
        </is>
      </c>
      <c r="D104" s="13" t="inlineStr">
        <is>
          <t>34.0x73.0x5.0"</t>
        </is>
      </c>
      <c r="E104" s="12" t="inlineStr">
        <is>
          <t>Piping</t>
        </is>
      </c>
      <c r="F104" s="13" t="inlineStr">
        <is>
          <t>WXL</t>
        </is>
      </c>
      <c r="G104" s="12" t="inlineStr">
        <is>
          <t>Piping fabric  - 100% Polyester satin fabric in silver color, Pantone Color - #14-4102TC</t>
        </is>
      </c>
      <c r="H104" s="12" t="n"/>
      <c r="I104" s="12" t="inlineStr"/>
      <c r="J104" s="12" t="inlineStr">
        <is>
          <t>100% Polyester</t>
        </is>
      </c>
      <c r="K104" s="12" t="n">
        <v>70</v>
      </c>
      <c r="L104" s="12" t="inlineStr"/>
      <c r="M104" s="12" t="inlineStr">
        <is>
          <t>Silver</t>
        </is>
      </c>
      <c r="N104" s="13" t="n">
        <v>180</v>
      </c>
      <c r="O104" s="13" t="n">
        <v>0.18</v>
      </c>
      <c r="P104" s="13" t="n">
        <v>6</v>
      </c>
      <c r="Q104" s="16">
        <f>IFERROR(O104*(1+P104/100)*VLOOKUP(B104,'1. Articles (SKUs)'!F:R,13,FALSE),"")</f>
        <v/>
      </c>
      <c r="R104" s="12" t="inlineStr"/>
      <c r="S104" s="12" t="inlineStr"/>
    </row>
    <row r="105">
      <c r="A105" s="14" t="inlineStr">
        <is>
          <t>FT9</t>
        </is>
      </c>
      <c r="B105" s="14" t="inlineStr">
        <is>
          <t>GPSE33</t>
        </is>
      </c>
      <c r="C105" s="14" t="inlineStr">
        <is>
          <t>SLEEPER - TWIN</t>
        </is>
      </c>
      <c r="D105" s="15" t="inlineStr">
        <is>
          <t>34.0x73.0x5.0"</t>
        </is>
      </c>
      <c r="E105" s="14" t="inlineStr">
        <is>
          <t>Binding</t>
        </is>
      </c>
      <c r="F105" s="15" t="inlineStr">
        <is>
          <t>WXL</t>
        </is>
      </c>
      <c r="G105" s="14" t="inlineStr">
        <is>
          <t>Bound seam fabric - 100% Polyester microfiber woven fabric in white color</t>
        </is>
      </c>
      <c r="H105" s="14" t="n"/>
      <c r="I105" s="14" t="inlineStr"/>
      <c r="J105" s="14" t="inlineStr">
        <is>
          <t>100% Polyester</t>
        </is>
      </c>
      <c r="K105" s="14" t="n">
        <v>70</v>
      </c>
      <c r="L105" s="14" t="inlineStr"/>
      <c r="M105" s="14" t="inlineStr">
        <is>
          <t>White</t>
        </is>
      </c>
      <c r="N105" s="15" t="n">
        <v>180</v>
      </c>
      <c r="O105" s="15" t="n">
        <v>0.37</v>
      </c>
      <c r="P105" s="15" t="n">
        <v>6</v>
      </c>
      <c r="Q105" s="17">
        <f>IFERROR(O105*(1+P105/100)*VLOOKUP(B105,'1. Articles (SKUs)'!F:R,13,FALSE),"")</f>
        <v/>
      </c>
      <c r="R105" s="14" t="inlineStr"/>
      <c r="S105" s="14" t="inlineStr"/>
    </row>
    <row r="106">
      <c r="A106" s="12" t="inlineStr">
        <is>
          <t>FT9</t>
        </is>
      </c>
      <c r="B106" s="12" t="inlineStr">
        <is>
          <t>GPSE46</t>
        </is>
      </c>
      <c r="C106" s="12" t="inlineStr">
        <is>
          <t>SLEEPER - FULL</t>
        </is>
      </c>
      <c r="D106" s="13" t="inlineStr">
        <is>
          <t>54.0x73.0x5.0"</t>
        </is>
      </c>
      <c r="E106" s="12" t="inlineStr">
        <is>
          <t>Platform</t>
        </is>
      </c>
      <c r="F106" s="13" t="inlineStr">
        <is>
          <t>WXL</t>
        </is>
      </c>
      <c r="G106" s="12" t="inlineStr">
        <is>
          <t>110gsm - 100% Polyester terry knitted fabric with 0.02mm TPUwhite coating</t>
        </is>
      </c>
      <c r="H106" s="12" t="n"/>
      <c r="I106" s="12" t="inlineStr"/>
      <c r="J106" s="12" t="inlineStr">
        <is>
          <t>100% Polyester</t>
        </is>
      </c>
      <c r="K106" s="12" t="n">
        <v>110</v>
      </c>
      <c r="L106" s="12" t="inlineStr">
        <is>
          <t>TPU coated</t>
        </is>
      </c>
      <c r="M106" s="12" t="inlineStr">
        <is>
          <t>White</t>
        </is>
      </c>
      <c r="N106" s="13" t="n">
        <v>208</v>
      </c>
      <c r="O106" s="13" t="n">
        <v>1.42</v>
      </c>
      <c r="P106" s="13" t="n">
        <v>6</v>
      </c>
      <c r="Q106" s="16">
        <f>IFERROR(O106*(1+P106/100)*VLOOKUP(B106,'1. Articles (SKUs)'!F:R,13,FALSE),"")</f>
        <v/>
      </c>
      <c r="R106" s="12" t="inlineStr"/>
      <c r="S106" s="12" t="inlineStr"/>
    </row>
    <row r="107">
      <c r="A107" s="14" t="inlineStr">
        <is>
          <t>FT9</t>
        </is>
      </c>
      <c r="B107" s="14" t="inlineStr">
        <is>
          <t>GPSE46</t>
        </is>
      </c>
      <c r="C107" s="14" t="inlineStr">
        <is>
          <t>SLEEPER - FULL</t>
        </is>
      </c>
      <c r="D107" s="15" t="inlineStr">
        <is>
          <t>54.0x73.0x5.0"</t>
        </is>
      </c>
      <c r="E107" s="14" t="inlineStr">
        <is>
          <t>Bottom + Skirt</t>
        </is>
      </c>
      <c r="F107" s="15" t="inlineStr">
        <is>
          <t>WXL</t>
        </is>
      </c>
      <c r="G107" s="14" t="inlineStr">
        <is>
          <t>70gsm - 100% Polyester interlock knitted fabric in white</t>
        </is>
      </c>
      <c r="H107" s="14" t="n"/>
      <c r="I107" s="14" t="inlineStr"/>
      <c r="J107" s="14" t="inlineStr">
        <is>
          <t>100% Polyester</t>
        </is>
      </c>
      <c r="K107" s="14" t="n">
        <v>70</v>
      </c>
      <c r="L107" s="14" t="inlineStr">
        <is>
          <t>A) 0.02mmTPU PU Coating(Chinese TPU) in White Color</t>
        </is>
      </c>
      <c r="M107" s="14" t="inlineStr">
        <is>
          <t>White</t>
        </is>
      </c>
      <c r="N107" s="15" t="n">
        <v>190</v>
      </c>
      <c r="O107" s="15" t="n">
        <v>2.02</v>
      </c>
      <c r="P107" s="15" t="n">
        <v>6</v>
      </c>
      <c r="Q107" s="17">
        <f>IFERROR(O107*(1+P107/100)*VLOOKUP(B107,'1. Articles (SKUs)'!F:R,13,FALSE),"")</f>
        <v/>
      </c>
      <c r="R107" s="14" t="inlineStr"/>
      <c r="S107" s="14" t="inlineStr"/>
    </row>
    <row r="108">
      <c r="A108" s="12" t="inlineStr">
        <is>
          <t>FT9</t>
        </is>
      </c>
      <c r="B108" s="12" t="inlineStr">
        <is>
          <t>GPSE46</t>
        </is>
      </c>
      <c r="C108" s="12" t="inlineStr">
        <is>
          <t>SLEEPER - FULL</t>
        </is>
      </c>
      <c r="D108" s="13" t="inlineStr">
        <is>
          <t>54.0x73.0x5.0"</t>
        </is>
      </c>
      <c r="E108" s="12" t="inlineStr">
        <is>
          <t>Piping</t>
        </is>
      </c>
      <c r="F108" s="13" t="inlineStr">
        <is>
          <t>WXL</t>
        </is>
      </c>
      <c r="G108" s="12" t="inlineStr">
        <is>
          <t>Piping fabric  - 100% Polyester satin fabric in silver color, Pantone Color - #14-4102TC</t>
        </is>
      </c>
      <c r="H108" s="12" t="n"/>
      <c r="I108" s="12" t="inlineStr"/>
      <c r="J108" s="12" t="inlineStr">
        <is>
          <t>100% Polyester</t>
        </is>
      </c>
      <c r="K108" s="12" t="n">
        <v>70</v>
      </c>
      <c r="L108" s="12" t="inlineStr"/>
      <c r="M108" s="12" t="inlineStr">
        <is>
          <t>Silver</t>
        </is>
      </c>
      <c r="N108" s="13" t="n">
        <v>180</v>
      </c>
      <c r="O108" s="13" t="n">
        <v>0.21</v>
      </c>
      <c r="P108" s="13" t="n">
        <v>6</v>
      </c>
      <c r="Q108" s="16">
        <f>IFERROR(O108*(1+P108/100)*VLOOKUP(B108,'1. Articles (SKUs)'!F:R,13,FALSE),"")</f>
        <v/>
      </c>
      <c r="R108" s="12" t="inlineStr"/>
      <c r="S108" s="12" t="inlineStr"/>
    </row>
    <row r="109">
      <c r="A109" s="14" t="inlineStr">
        <is>
          <t>FT9</t>
        </is>
      </c>
      <c r="B109" s="14" t="inlineStr">
        <is>
          <t>GPSE46</t>
        </is>
      </c>
      <c r="C109" s="14" t="inlineStr">
        <is>
          <t>SLEEPER - FULL</t>
        </is>
      </c>
      <c r="D109" s="15" t="inlineStr">
        <is>
          <t>54.0x73.0x5.0"</t>
        </is>
      </c>
      <c r="E109" s="14" t="inlineStr">
        <is>
          <t>Binding</t>
        </is>
      </c>
      <c r="F109" s="15" t="inlineStr">
        <is>
          <t>WXL</t>
        </is>
      </c>
      <c r="G109" s="14" t="inlineStr">
        <is>
          <t>Bound seam fabric - 100% Polyester microfiber woven fabric in white color</t>
        </is>
      </c>
      <c r="H109" s="14" t="n"/>
      <c r="I109" s="14" t="inlineStr"/>
      <c r="J109" s="14" t="inlineStr">
        <is>
          <t>100% Polyester</t>
        </is>
      </c>
      <c r="K109" s="14" t="n">
        <v>70</v>
      </c>
      <c r="L109" s="14" t="inlineStr"/>
      <c r="M109" s="14" t="inlineStr">
        <is>
          <t>White</t>
        </is>
      </c>
      <c r="N109" s="15" t="n">
        <v>180</v>
      </c>
      <c r="O109" s="15" t="n">
        <v>0.5</v>
      </c>
      <c r="P109" s="15" t="n">
        <v>6</v>
      </c>
      <c r="Q109" s="17">
        <f>IFERROR(O109*(1+P109/100)*VLOOKUP(B109,'1. Articles (SKUs)'!F:R,13,FALSE),"")</f>
        <v/>
      </c>
      <c r="R109" s="14" t="inlineStr"/>
      <c r="S109" s="14" t="inlineStr"/>
    </row>
    <row r="110">
      <c r="A110" s="12" t="inlineStr">
        <is>
          <t>FT9</t>
        </is>
      </c>
      <c r="B110" s="12" t="inlineStr">
        <is>
          <t>GPSE50</t>
        </is>
      </c>
      <c r="C110" s="12" t="inlineStr">
        <is>
          <t>SLEEPER - QUEEN</t>
        </is>
      </c>
      <c r="D110" s="13" t="inlineStr">
        <is>
          <t>59.0x73.0x5.0"</t>
        </is>
      </c>
      <c r="E110" s="12" t="inlineStr">
        <is>
          <t>Platform</t>
        </is>
      </c>
      <c r="F110" s="13" t="inlineStr">
        <is>
          <t>WXL</t>
        </is>
      </c>
      <c r="G110" s="12" t="inlineStr">
        <is>
          <t>110gsm - 100% Polyester terry knitted fabric with 0.02mm TPUwhite coating</t>
        </is>
      </c>
      <c r="H110" s="12" t="n"/>
      <c r="I110" s="12" t="inlineStr"/>
      <c r="J110" s="12" t="inlineStr">
        <is>
          <t>100% Polyester</t>
        </is>
      </c>
      <c r="K110" s="12" t="n">
        <v>110</v>
      </c>
      <c r="L110" s="12" t="inlineStr">
        <is>
          <t>TPU coated</t>
        </is>
      </c>
      <c r="M110" s="12" t="inlineStr">
        <is>
          <t>White</t>
        </is>
      </c>
      <c r="N110" s="13" t="n">
        <v>208</v>
      </c>
      <c r="O110" s="13" t="n">
        <v>1.55</v>
      </c>
      <c r="P110" s="13" t="n">
        <v>6</v>
      </c>
      <c r="Q110" s="16">
        <f>IFERROR(O110*(1+P110/100)*VLOOKUP(B110,'1. Articles (SKUs)'!F:R,13,FALSE),"")</f>
        <v/>
      </c>
      <c r="R110" s="12" t="inlineStr"/>
      <c r="S110" s="12" t="inlineStr"/>
    </row>
    <row r="111">
      <c r="A111" s="14" t="inlineStr">
        <is>
          <t>FT9</t>
        </is>
      </c>
      <c r="B111" s="14" t="inlineStr">
        <is>
          <t>GPSE50</t>
        </is>
      </c>
      <c r="C111" s="14" t="inlineStr">
        <is>
          <t>SLEEPER - QUEEN</t>
        </is>
      </c>
      <c r="D111" s="15" t="inlineStr">
        <is>
          <t>59.0x73.0x5.0"</t>
        </is>
      </c>
      <c r="E111" s="14" t="inlineStr">
        <is>
          <t>Bottom + Skirt</t>
        </is>
      </c>
      <c r="F111" s="15" t="inlineStr">
        <is>
          <t>WXL</t>
        </is>
      </c>
      <c r="G111" s="14" t="inlineStr">
        <is>
          <t>70gsm - 100% Polyester interlock knitted fabric in white</t>
        </is>
      </c>
      <c r="H111" s="14" t="n"/>
      <c r="I111" s="14" t="inlineStr"/>
      <c r="J111" s="14" t="inlineStr">
        <is>
          <t>100% Polyester</t>
        </is>
      </c>
      <c r="K111" s="14" t="n">
        <v>70</v>
      </c>
      <c r="L111" s="14" t="inlineStr">
        <is>
          <t>A) 0.02mmTPU PU Coating(Chinese TPU) in White Color</t>
        </is>
      </c>
      <c r="M111" s="14" t="inlineStr">
        <is>
          <t>White</t>
        </is>
      </c>
      <c r="N111" s="15" t="n">
        <v>190</v>
      </c>
      <c r="O111" s="15" t="n">
        <v>2.17</v>
      </c>
      <c r="P111" s="15" t="n">
        <v>6</v>
      </c>
      <c r="Q111" s="17">
        <f>IFERROR(O111*(1+P111/100)*VLOOKUP(B111,'1. Articles (SKUs)'!F:R,13,FALSE),"")</f>
        <v/>
      </c>
      <c r="R111" s="14" t="inlineStr"/>
      <c r="S111" s="14" t="inlineStr"/>
    </row>
    <row r="112">
      <c r="A112" s="12" t="inlineStr">
        <is>
          <t>FT9</t>
        </is>
      </c>
      <c r="B112" s="12" t="inlineStr">
        <is>
          <t>GPSE50</t>
        </is>
      </c>
      <c r="C112" s="12" t="inlineStr">
        <is>
          <t>SLEEPER - QUEEN</t>
        </is>
      </c>
      <c r="D112" s="13" t="inlineStr">
        <is>
          <t>59.0x73.0x5.0"</t>
        </is>
      </c>
      <c r="E112" s="12" t="inlineStr">
        <is>
          <t>Piping</t>
        </is>
      </c>
      <c r="F112" s="13" t="inlineStr">
        <is>
          <t>WXL</t>
        </is>
      </c>
      <c r="G112" s="12" t="inlineStr">
        <is>
          <t>Piping fabric  - 100% Polyester satin fabric in silver color, Pantone Color - #14-4102TC</t>
        </is>
      </c>
      <c r="H112" s="12" t="n"/>
      <c r="I112" s="12" t="inlineStr"/>
      <c r="J112" s="12" t="inlineStr">
        <is>
          <t>100% Polyester</t>
        </is>
      </c>
      <c r="K112" s="12" t="n">
        <v>70</v>
      </c>
      <c r="L112" s="12" t="inlineStr"/>
      <c r="M112" s="12" t="inlineStr">
        <is>
          <t>Silver</t>
        </is>
      </c>
      <c r="N112" s="13" t="n">
        <v>180</v>
      </c>
      <c r="O112" s="13" t="n">
        <v>0.22</v>
      </c>
      <c r="P112" s="13" t="n">
        <v>6</v>
      </c>
      <c r="Q112" s="16">
        <f>IFERROR(O112*(1+P112/100)*VLOOKUP(B112,'1. Articles (SKUs)'!F:R,13,FALSE),"")</f>
        <v/>
      </c>
      <c r="R112" s="12" t="inlineStr"/>
      <c r="S112" s="12" t="inlineStr"/>
    </row>
    <row r="113">
      <c r="A113" s="14" t="inlineStr">
        <is>
          <t>FT9</t>
        </is>
      </c>
      <c r="B113" s="14" t="inlineStr">
        <is>
          <t>GPSE50</t>
        </is>
      </c>
      <c r="C113" s="14" t="inlineStr">
        <is>
          <t>SLEEPER - QUEEN</t>
        </is>
      </c>
      <c r="D113" s="15" t="inlineStr">
        <is>
          <t>59.0x73.0x5.0"</t>
        </is>
      </c>
      <c r="E113" s="14" t="inlineStr">
        <is>
          <t>Binding</t>
        </is>
      </c>
      <c r="F113" s="15" t="inlineStr">
        <is>
          <t>WXL</t>
        </is>
      </c>
      <c r="G113" s="14" t="inlineStr">
        <is>
          <t>Bound seam fabric - 100% Polyester microfiber woven fabric in white color</t>
        </is>
      </c>
      <c r="H113" s="14" t="n"/>
      <c r="I113" s="14" t="inlineStr"/>
      <c r="J113" s="14" t="inlineStr">
        <is>
          <t>100% Polyester</t>
        </is>
      </c>
      <c r="K113" s="14" t="n">
        <v>70</v>
      </c>
      <c r="L113" s="14" t="inlineStr"/>
      <c r="M113" s="14" t="inlineStr">
        <is>
          <t>White</t>
        </is>
      </c>
      <c r="N113" s="15" t="n">
        <v>180</v>
      </c>
      <c r="O113" s="15" t="n">
        <v>0.52</v>
      </c>
      <c r="P113" s="15" t="n">
        <v>6</v>
      </c>
      <c r="Q113" s="17">
        <f>IFERROR(O113*(1+P113/100)*VLOOKUP(B113,'1. Articles (SKUs)'!F:R,13,FALSE),"")</f>
        <v/>
      </c>
      <c r="R113" s="14" t="inlineStr"/>
      <c r="S113" s="14" t="inlineStr"/>
    </row>
    <row r="114">
      <c r="A114" s="12" t="inlineStr">
        <is>
          <t>FT4</t>
        </is>
      </c>
      <c r="B114" s="12" t="inlineStr">
        <is>
          <t>GPPPQ</t>
        </is>
      </c>
      <c r="C114" s="12" t="inlineStr">
        <is>
          <t>QUEEN</t>
        </is>
      </c>
      <c r="D114" s="13" t="inlineStr">
        <is>
          <t>31x21"</t>
        </is>
      </c>
      <c r="E114" s="12" t="inlineStr">
        <is>
          <t>Platform</t>
        </is>
      </c>
      <c r="F114" s="13" t="inlineStr">
        <is>
          <t>WXL</t>
        </is>
      </c>
      <c r="G114" s="12" t="inlineStr">
        <is>
          <t>105 GSM Terry</t>
        </is>
      </c>
      <c r="H114" s="12" t="inlineStr">
        <is>
          <t>Knitted</t>
        </is>
      </c>
      <c r="I114" s="12" t="inlineStr"/>
      <c r="J114" s="12" t="inlineStr">
        <is>
          <t>100% Polyester</t>
        </is>
      </c>
      <c r="K114" s="12" t="n">
        <v>108</v>
      </c>
      <c r="L114" s="12" t="inlineStr">
        <is>
          <t>TPU coated</t>
        </is>
      </c>
      <c r="M114" s="12" t="inlineStr">
        <is>
          <t>White</t>
        </is>
      </c>
      <c r="N114" s="13" t="n">
        <v>208</v>
      </c>
      <c r="O114" s="13" t="n">
        <v>0.55</v>
      </c>
      <c r="P114" s="13" t="n">
        <v>6</v>
      </c>
      <c r="Q114" s="16">
        <f>IFERROR(O114*(1+P114/100)*VLOOKUP(B114,'1. Articles (SKUs)'!F:R,13,FALSE),"")</f>
        <v/>
      </c>
      <c r="R114" s="12" t="inlineStr"/>
      <c r="S114" s="12" t="inlineStr"/>
    </row>
    <row r="115">
      <c r="A115" s="14" t="inlineStr">
        <is>
          <t>FT4</t>
        </is>
      </c>
      <c r="B115" s="14" t="inlineStr">
        <is>
          <t>GPPPK</t>
        </is>
      </c>
      <c r="C115" s="14" t="inlineStr">
        <is>
          <t>KING</t>
        </is>
      </c>
      <c r="D115" s="15" t="inlineStr">
        <is>
          <t>37x21"</t>
        </is>
      </c>
      <c r="E115" s="14" t="inlineStr">
        <is>
          <t>Platform</t>
        </is>
      </c>
      <c r="F115" s="15" t="inlineStr">
        <is>
          <t>WXL</t>
        </is>
      </c>
      <c r="G115" s="14" t="inlineStr">
        <is>
          <t>105 GSM Terry</t>
        </is>
      </c>
      <c r="H115" s="14" t="inlineStr">
        <is>
          <t>Knitted</t>
        </is>
      </c>
      <c r="I115" s="14" t="inlineStr"/>
      <c r="J115" s="14" t="inlineStr">
        <is>
          <t>100% Polyester</t>
        </is>
      </c>
      <c r="K115" s="14" t="n">
        <v>108</v>
      </c>
      <c r="L115" s="14" t="inlineStr">
        <is>
          <t>TPU coated</t>
        </is>
      </c>
      <c r="M115" s="14" t="inlineStr">
        <is>
          <t>White</t>
        </is>
      </c>
      <c r="N115" s="15" t="n">
        <v>208</v>
      </c>
      <c r="O115" s="15" t="n">
        <v>0.6</v>
      </c>
      <c r="P115" s="15" t="n">
        <v>6</v>
      </c>
      <c r="Q115" s="17">
        <f>IFERROR(O115*(1+P115/100)*VLOOKUP(B115,'1. Articles (SKUs)'!F:R,13,FALSE),"")</f>
        <v/>
      </c>
      <c r="R115" s="14" t="inlineStr"/>
      <c r="S115" s="14" t="inlineStr"/>
    </row>
    <row r="116">
      <c r="A116" s="12" t="inlineStr">
        <is>
          <t>FT2</t>
        </is>
      </c>
      <c r="B116" s="12" t="inlineStr">
        <is>
          <t>GPFRIOPPQ</t>
        </is>
      </c>
      <c r="C116" s="12" t="inlineStr">
        <is>
          <t>QUEEN</t>
        </is>
      </c>
      <c r="D116" s="13" t="inlineStr">
        <is>
          <t>31x21"</t>
        </is>
      </c>
      <c r="E116" s="12" t="inlineStr">
        <is>
          <t>Platform</t>
        </is>
      </c>
      <c r="F116" s="13" t="inlineStr">
        <is>
          <t>WXL</t>
        </is>
      </c>
      <c r="G116" s="12" t="inlineStr">
        <is>
          <t>70 GSM Interlock Silvadur</t>
        </is>
      </c>
      <c r="H116" s="12" t="inlineStr">
        <is>
          <t>Knitted</t>
        </is>
      </c>
      <c r="I116" s="12" t="inlineStr"/>
      <c r="J116" s="12" t="inlineStr">
        <is>
          <t>100% Polyester</t>
        </is>
      </c>
      <c r="K116" s="12" t="n">
        <v>70</v>
      </c>
      <c r="L116" s="12" t="inlineStr">
        <is>
          <t>Silvadur TM 930</t>
        </is>
      </c>
      <c r="M116" s="12" t="inlineStr">
        <is>
          <t>White</t>
        </is>
      </c>
      <c r="N116" s="13" t="n">
        <v>190</v>
      </c>
      <c r="O116" s="13" t="n">
        <v>0.55</v>
      </c>
      <c r="P116" s="13" t="n">
        <v>6</v>
      </c>
      <c r="Q116" s="16">
        <f>IFERROR(O116*(1+P116/100)*VLOOKUP(B116,'1. Articles (SKUs)'!F:R,13,FALSE),"")</f>
        <v/>
      </c>
      <c r="R116" s="12" t="inlineStr"/>
      <c r="S116" s="12" t="inlineStr"/>
    </row>
    <row r="117">
      <c r="A117" s="14" t="inlineStr">
        <is>
          <t>FT2</t>
        </is>
      </c>
      <c r="B117" s="14" t="inlineStr">
        <is>
          <t>GPFRIOPPK</t>
        </is>
      </c>
      <c r="C117" s="14" t="inlineStr">
        <is>
          <t>KING</t>
        </is>
      </c>
      <c r="D117" s="15" t="inlineStr">
        <is>
          <t>37x21"</t>
        </is>
      </c>
      <c r="E117" s="14" t="inlineStr">
        <is>
          <t>Platform</t>
        </is>
      </c>
      <c r="F117" s="15" t="inlineStr">
        <is>
          <t>WXL</t>
        </is>
      </c>
      <c r="G117" s="14" t="inlineStr">
        <is>
          <t>70 GSM Interlock Silvadur</t>
        </is>
      </c>
      <c r="H117" s="14" t="inlineStr">
        <is>
          <t>Knitted</t>
        </is>
      </c>
      <c r="I117" s="14" t="inlineStr"/>
      <c r="J117" s="14" t="inlineStr">
        <is>
          <t>100% Polyester</t>
        </is>
      </c>
      <c r="K117" s="14" t="n">
        <v>70</v>
      </c>
      <c r="L117" s="14" t="inlineStr">
        <is>
          <t>Silvadur TM 930</t>
        </is>
      </c>
      <c r="M117" s="14" t="inlineStr">
        <is>
          <t>White</t>
        </is>
      </c>
      <c r="N117" s="15" t="n">
        <v>190</v>
      </c>
      <c r="O117" s="15" t="n">
        <v>0.6</v>
      </c>
      <c r="P117" s="15" t="n">
        <v>6</v>
      </c>
      <c r="Q117" s="17">
        <f>IFERROR(O117*(1+P117/100)*VLOOKUP(B117,'1. Articles (SKUs)'!F:R,13,FALSE),"")</f>
        <v/>
      </c>
      <c r="R117" s="14" t="inlineStr"/>
      <c r="S117" s="14" t="inlineStr"/>
    </row>
  </sheetData>
  <dataValidations count="3">
    <dataValidation sqref="F2:F113" showDropDown="0" showInputMessage="0" showErrorMessage="0" allowBlank="1" type="list">
      <formula1>"WXL,LXL,LXW,WXW"</formula1>
    </dataValidation>
    <dataValidation sqref="H2:H113" showDropDown="0" showInputMessage="0" showErrorMessage="0" allowBlank="1" type="list">
      <formula1>"Knitted,Woven"</formula1>
    </dataValidation>
    <dataValidation sqref="E2:E113" showDropDown="0" showInputMessage="0" showErrorMessage="0" allowBlank="1" type="list">
      <formula1>"Platform,Skirt,Piping,Binding,Bottom,Bottom + Skirt,Sleeper Flap,Evalon Membrane,Flat Sheet,Fitted Sheet,Fitted Sheet (2pc Split),Fitted Sheet (Split Head),Pillow Case (1pc),Pillow Case (2pc),Fabric Bag,Front,Back,Top Fabric,Filling,Lamination,Other"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N35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38" customWidth="1" min="6" max="6"/>
    <col width="12" customWidth="1" min="7" max="7"/>
    <col width="28" customWidth="1" min="8" max="8"/>
    <col width="20" customWidth="1" min="9" max="9"/>
    <col width="16" customWidth="1" min="10" max="10"/>
    <col width="10" customWidth="1" min="11" max="11"/>
    <col width="14" customWidth="1" min="12" max="12"/>
    <col width="14" customWidth="1" min="13" max="13"/>
    <col width="12" customWidth="1" min="14" max="14"/>
  </cols>
  <sheetData>
    <row r="1" ht="34" customHeight="1">
      <c r="A1" s="9" t="inlineStr">
        <is>
          <t>tech_pack_code</t>
        </is>
      </c>
      <c r="B1" s="9" t="inlineStr">
        <is>
          <t>item_code</t>
        </is>
      </c>
      <c r="C1" s="9" t="inlineStr">
        <is>
          <t>size</t>
        </is>
      </c>
      <c r="D1" s="9" t="inlineStr">
        <is>
          <t>category</t>
        </is>
      </c>
      <c r="E1" s="9" t="inlineStr">
        <is>
          <t>item_name</t>
        </is>
      </c>
      <c r="F1" s="9" t="inlineStr">
        <is>
          <t>material</t>
        </is>
      </c>
      <c r="G1" s="9" t="inlineStr">
        <is>
          <t>size_spec</t>
        </is>
      </c>
      <c r="H1" s="9" t="inlineStr">
        <is>
          <t>placement</t>
        </is>
      </c>
      <c r="I1" s="9" t="inlineStr">
        <is>
          <t>variant</t>
        </is>
      </c>
      <c r="J1" s="10" t="inlineStr">
        <is>
          <t>consumption_per_unit</t>
        </is>
      </c>
      <c r="K1" s="10" t="inlineStr">
        <is>
          <t>unit</t>
        </is>
      </c>
      <c r="L1" s="11" t="inlineStr">
        <is>
          <t>wastage_percent</t>
        </is>
      </c>
      <c r="M1" s="9" t="inlineStr">
        <is>
          <t>total_required</t>
        </is>
      </c>
      <c r="N1" s="11" t="inlineStr">
        <is>
          <t>supplier</t>
        </is>
      </c>
    </row>
    <row r="2">
      <c r="A2" s="12" t="inlineStr">
        <is>
          <t>FT2</t>
        </is>
      </c>
      <c r="B2" s="12" t="inlineStr">
        <is>
          <t>GPFRIOMP33</t>
        </is>
      </c>
      <c r="C2" s="12" t="inlineStr">
        <is>
          <t>TWIN</t>
        </is>
      </c>
      <c r="D2" s="12" t="inlineStr">
        <is>
          <t>Thread</t>
        </is>
      </c>
      <c r="E2" s="12" t="inlineStr">
        <is>
          <t>Polyester sewing thread</t>
        </is>
      </c>
      <c r="F2" s="12" t="inlineStr">
        <is>
          <t>100% polyester spun</t>
        </is>
      </c>
      <c r="G2" s="12" t="inlineStr">
        <is>
          <t>TEX40 or 40/2</t>
        </is>
      </c>
      <c r="H2" s="12" t="inlineStr">
        <is>
          <t>All seams</t>
        </is>
      </c>
      <c r="I2" s="12" t="inlineStr">
        <is>
          <t>Mattress protector</t>
        </is>
      </c>
      <c r="J2" s="18" t="n"/>
      <c r="K2" s="19" t="inlineStr">
        <is>
          <t>meters</t>
        </is>
      </c>
      <c r="L2" s="19" t="n">
        <v>3</v>
      </c>
      <c r="M2" s="16">
        <f>IFERROR(J2*(1+IFERROR(L2,0)/100)*VLOOKUP(B2,'1. Articles (SKUs)'!F:R,13,FALSE),"")</f>
        <v/>
      </c>
      <c r="N2" s="19" t="inlineStr"/>
    </row>
    <row r="3">
      <c r="A3" s="14" t="inlineStr">
        <is>
          <t>FT2</t>
        </is>
      </c>
      <c r="B3" s="14" t="inlineStr">
        <is>
          <t>GPFRIOMP33</t>
        </is>
      </c>
      <c r="C3" s="14" t="inlineStr">
        <is>
          <t>TWIN</t>
        </is>
      </c>
      <c r="D3" s="14" t="inlineStr">
        <is>
          <t>Elastic</t>
        </is>
      </c>
      <c r="E3" s="14" t="inlineStr">
        <is>
          <t>1/8" H Elastic band</t>
        </is>
      </c>
      <c r="F3" s="14" t="inlineStr">
        <is>
          <t>Rubber/polyester</t>
        </is>
      </c>
      <c r="G3" s="14" t="inlineStr">
        <is>
          <t>1/8"</t>
        </is>
      </c>
      <c r="H3" s="14" t="inlineStr">
        <is>
          <t>Around bottom edge</t>
        </is>
      </c>
      <c r="I3" s="14" t="inlineStr">
        <is>
          <t>Mattress protector</t>
        </is>
      </c>
      <c r="J3" s="18" t="n"/>
      <c r="K3" s="19" t="inlineStr">
        <is>
          <t>meters</t>
        </is>
      </c>
      <c r="L3" s="19" t="n">
        <v>3</v>
      </c>
      <c r="M3" s="17">
        <f>IFERROR(J3*(1+IFERROR(L3,0)/100)*VLOOKUP(B3,'1. Articles (SKUs)'!F:R,13,FALSE),"")</f>
        <v/>
      </c>
      <c r="N3" s="19" t="inlineStr"/>
    </row>
    <row r="4">
      <c r="A4" s="12" t="inlineStr">
        <is>
          <t>FT2</t>
        </is>
      </c>
      <c r="B4" s="12" t="inlineStr">
        <is>
          <t>GPFRIOMP33</t>
        </is>
      </c>
      <c r="C4" s="12" t="inlineStr">
        <is>
          <t>TWIN</t>
        </is>
      </c>
      <c r="D4" s="12" t="inlineStr">
        <is>
          <t>Law Tag</t>
        </is>
      </c>
      <c r="E4" s="12" t="inlineStr">
        <is>
          <t>Non woven label with coating</t>
        </is>
      </c>
      <c r="F4" s="12" t="inlineStr">
        <is>
          <t>3M non woven material with white ground / black color font  (INK CANNOT DISCOLORATION AND STAIN ON PRODUCT)</t>
        </is>
      </c>
      <c r="G4" s="12" t="inlineStr">
        <is>
          <t>9.0cmX13.0cm</t>
        </is>
      </c>
      <c r="H4" s="12" t="inlineStr">
        <is>
          <t>Position of law tag label – Sewing at the middle of short si</t>
        </is>
      </c>
      <c r="I4" s="12" t="inlineStr">
        <is>
          <t>Law tag/Care label for mattress protector</t>
        </is>
      </c>
      <c r="J4" s="20" t="n">
        <v>1</v>
      </c>
      <c r="K4" s="20" t="inlineStr">
        <is>
          <t>pcs</t>
        </is>
      </c>
      <c r="L4" s="19" t="n">
        <v>2</v>
      </c>
      <c r="M4" s="16">
        <f>IFERROR(J4*(1+IFERROR(L4,0)/100)*VLOOKUP(B4,'1. Articles (SKUs)'!F:R,13,FALSE),"")</f>
        <v/>
      </c>
      <c r="N4" s="19" t="inlineStr"/>
    </row>
    <row r="5">
      <c r="A5" s="14" t="inlineStr">
        <is>
          <t>FT2</t>
        </is>
      </c>
      <c r="B5" s="14" t="inlineStr">
        <is>
          <t>GPFRIOMP33</t>
        </is>
      </c>
      <c r="C5" s="14" t="inlineStr">
        <is>
          <t>TWIN</t>
        </is>
      </c>
      <c r="D5" s="14" t="inlineStr">
        <is>
          <t>Packaging</t>
        </is>
      </c>
      <c r="E5" s="14" t="inlineStr">
        <is>
          <t>Packaging type</t>
        </is>
      </c>
      <c r="F5" s="14" t="inlineStr">
        <is>
          <t>Color paper insert with vinyl PVC Bag with white bound seam &amp; inside cardboard wrapped by product(Stiffener)</t>
        </is>
      </c>
      <c r="G5" s="14" t="inlineStr"/>
      <c r="H5" s="14" t="inlineStr"/>
      <c r="I5" s="14" t="inlineStr">
        <is>
          <t>Main</t>
        </is>
      </c>
      <c r="J5" s="20" t="n">
        <v>1</v>
      </c>
      <c r="K5" s="20" t="inlineStr">
        <is>
          <t>pcs</t>
        </is>
      </c>
      <c r="L5" s="19" t="n">
        <v>2</v>
      </c>
      <c r="M5" s="17">
        <f>IFERROR(J5*(1+IFERROR(L5,0)/100)*VLOOKUP(B5,'1. Articles (SKUs)'!F:R,13,FALSE),"")</f>
        <v/>
      </c>
      <c r="N5" s="19" t="inlineStr"/>
    </row>
    <row r="6">
      <c r="A6" s="12" t="inlineStr">
        <is>
          <t>FT2</t>
        </is>
      </c>
      <c r="B6" s="12" t="inlineStr">
        <is>
          <t>GPFRIOMP33</t>
        </is>
      </c>
      <c r="C6" s="12" t="inlineStr">
        <is>
          <t>TWIN</t>
        </is>
      </c>
      <c r="D6" s="12" t="inlineStr">
        <is>
          <t>PVC Bag</t>
        </is>
      </c>
      <c r="E6" s="12" t="inlineStr">
        <is>
          <t>Bag material</t>
        </is>
      </c>
      <c r="F6" s="12" t="inlineStr">
        <is>
          <t>12S (Thickness)- Transparent PVC Bag with 7S(Thickness) White PVC White Binding all around seam and 3# Nylon Coil White Zipper(No Hanger Loop on top)</t>
        </is>
      </c>
      <c r="G6" s="12" t="inlineStr"/>
      <c r="H6" s="12" t="inlineStr"/>
      <c r="I6" s="12" t="inlineStr">
        <is>
          <t>Mattress protector</t>
        </is>
      </c>
      <c r="J6" s="20" t="n">
        <v>1</v>
      </c>
      <c r="K6" s="20" t="inlineStr">
        <is>
          <t>pcs</t>
        </is>
      </c>
      <c r="L6" s="19" t="n">
        <v>2</v>
      </c>
      <c r="M6" s="16">
        <f>IFERROR(J6*(1+IFERROR(L6,0)/100)*VLOOKUP(B6,'1. Articles (SKUs)'!F:R,13,FALSE),"")</f>
        <v/>
      </c>
      <c r="N6" s="19" t="inlineStr"/>
    </row>
    <row r="7">
      <c r="A7" s="14" t="inlineStr">
        <is>
          <t>FT2</t>
        </is>
      </c>
      <c r="B7" s="14" t="inlineStr">
        <is>
          <t>GPFRIOMP33</t>
        </is>
      </c>
      <c r="C7" s="14" t="inlineStr">
        <is>
          <t>TWIN</t>
        </is>
      </c>
      <c r="D7" s="14" t="inlineStr">
        <is>
          <t>Insert Card</t>
        </is>
      </c>
      <c r="E7" s="14" t="inlineStr">
        <is>
          <t>Color paper insert material</t>
        </is>
      </c>
      <c r="F7" s="14" t="inlineStr">
        <is>
          <t>Printed Insert quality -  INSERT (“U” Shape) - Insert Material: 250g-300g White Card Paper with Coating both side</t>
        </is>
      </c>
      <c r="G7" s="14" t="inlineStr"/>
      <c r="H7" s="14" t="inlineStr"/>
      <c r="I7" s="14" t="inlineStr">
        <is>
          <t>Mattress protector</t>
        </is>
      </c>
      <c r="J7" s="20" t="n">
        <v>1</v>
      </c>
      <c r="K7" s="20" t="inlineStr">
        <is>
          <t>pcs</t>
        </is>
      </c>
      <c r="L7" s="19" t="n">
        <v>2</v>
      </c>
      <c r="M7" s="17">
        <f>IFERROR(J7*(1+IFERROR(L7,0)/100)*VLOOKUP(B7,'1. Articles (SKUs)'!F:R,13,FALSE),"")</f>
        <v/>
      </c>
      <c r="N7" s="19" t="inlineStr"/>
    </row>
    <row r="8">
      <c r="A8" s="12" t="inlineStr">
        <is>
          <t>FT2</t>
        </is>
      </c>
      <c r="B8" s="12" t="inlineStr">
        <is>
          <t>GPFRIOMP33</t>
        </is>
      </c>
      <c r="C8" s="12" t="inlineStr">
        <is>
          <t>TWIN</t>
        </is>
      </c>
      <c r="D8" s="12" t="inlineStr">
        <is>
          <t>Stiffener</t>
        </is>
      </c>
      <c r="E8" s="12" t="inlineStr">
        <is>
          <t>Cardboard material(Stiffener)</t>
        </is>
      </c>
      <c r="F8" s="12" t="inlineStr">
        <is>
          <t>Packaging inside need to put a “U”  1 ply thickness(1 layers with 1 layer corrugated ) in White Cardboard to maintain the shape before putting into the box</t>
        </is>
      </c>
      <c r="G8" s="12" t="inlineStr"/>
      <c r="H8" s="12" t="inlineStr"/>
      <c r="I8" s="12" t="inlineStr">
        <is>
          <t>Mattress protector</t>
        </is>
      </c>
      <c r="J8" s="20" t="n">
        <v>1</v>
      </c>
      <c r="K8" s="20" t="inlineStr">
        <is>
          <t>pcs</t>
        </is>
      </c>
      <c r="L8" s="19" t="n">
        <v>2</v>
      </c>
      <c r="M8" s="16">
        <f>IFERROR(J8*(1+IFERROR(L8,0)/100)*VLOOKUP(B8,'1. Articles (SKUs)'!F:R,13,FALSE),"")</f>
        <v/>
      </c>
      <c r="N8" s="19" t="inlineStr"/>
    </row>
    <row r="9">
      <c r="A9" s="14" t="inlineStr">
        <is>
          <t>FT2</t>
        </is>
      </c>
      <c r="B9" s="14" t="inlineStr">
        <is>
          <t>GPFRIOMP38</t>
        </is>
      </c>
      <c r="C9" s="14" t="inlineStr">
        <is>
          <t>TWIN XL</t>
        </is>
      </c>
      <c r="D9" s="14" t="inlineStr">
        <is>
          <t>Thread</t>
        </is>
      </c>
      <c r="E9" s="14" t="inlineStr">
        <is>
          <t>Polyester sewing thread</t>
        </is>
      </c>
      <c r="F9" s="14" t="inlineStr">
        <is>
          <t>100% polyester spun</t>
        </is>
      </c>
      <c r="G9" s="14" t="inlineStr">
        <is>
          <t>TEX40 or 40/2</t>
        </is>
      </c>
      <c r="H9" s="14" t="inlineStr">
        <is>
          <t>All seams</t>
        </is>
      </c>
      <c r="I9" s="14" t="inlineStr">
        <is>
          <t>Mattress protector</t>
        </is>
      </c>
      <c r="J9" s="18" t="n"/>
      <c r="K9" s="19" t="inlineStr">
        <is>
          <t>meters</t>
        </is>
      </c>
      <c r="L9" s="19" t="n">
        <v>3</v>
      </c>
      <c r="M9" s="17">
        <f>IFERROR(J9*(1+IFERROR(L9,0)/100)*VLOOKUP(B9,'1. Articles (SKUs)'!F:R,13,FALSE),"")</f>
        <v/>
      </c>
      <c r="N9" s="19" t="inlineStr"/>
    </row>
    <row r="10">
      <c r="A10" s="12" t="inlineStr">
        <is>
          <t>FT2</t>
        </is>
      </c>
      <c r="B10" s="12" t="inlineStr">
        <is>
          <t>GPFRIOMP38</t>
        </is>
      </c>
      <c r="C10" s="12" t="inlineStr">
        <is>
          <t>TWIN XL</t>
        </is>
      </c>
      <c r="D10" s="12" t="inlineStr">
        <is>
          <t>Elastic</t>
        </is>
      </c>
      <c r="E10" s="12" t="inlineStr">
        <is>
          <t>1/8" H Elastic band</t>
        </is>
      </c>
      <c r="F10" s="12" t="inlineStr">
        <is>
          <t>Rubber/polyester</t>
        </is>
      </c>
      <c r="G10" s="12" t="inlineStr">
        <is>
          <t>1/8"</t>
        </is>
      </c>
      <c r="H10" s="12" t="inlineStr">
        <is>
          <t>Around bottom edge</t>
        </is>
      </c>
      <c r="I10" s="12" t="inlineStr">
        <is>
          <t>Mattress protector</t>
        </is>
      </c>
      <c r="J10" s="18" t="n"/>
      <c r="K10" s="19" t="inlineStr">
        <is>
          <t>meters</t>
        </is>
      </c>
      <c r="L10" s="19" t="n">
        <v>3</v>
      </c>
      <c r="M10" s="16">
        <f>IFERROR(J10*(1+IFERROR(L10,0)/100)*VLOOKUP(B10,'1. Articles (SKUs)'!F:R,13,FALSE),"")</f>
        <v/>
      </c>
      <c r="N10" s="19" t="inlineStr"/>
    </row>
    <row r="11">
      <c r="A11" s="14" t="inlineStr">
        <is>
          <t>FT2</t>
        </is>
      </c>
      <c r="B11" s="14" t="inlineStr">
        <is>
          <t>GPFRIOMP38</t>
        </is>
      </c>
      <c r="C11" s="14" t="inlineStr">
        <is>
          <t>TWIN XL</t>
        </is>
      </c>
      <c r="D11" s="14" t="inlineStr">
        <is>
          <t>Law Tag</t>
        </is>
      </c>
      <c r="E11" s="14" t="inlineStr">
        <is>
          <t>Non woven label with coating</t>
        </is>
      </c>
      <c r="F11" s="14" t="inlineStr">
        <is>
          <t>3M non woven material with white ground / black color font  (INK CANNOT DISCOLORATION AND STAIN ON PRODUCT)</t>
        </is>
      </c>
      <c r="G11" s="14" t="inlineStr">
        <is>
          <t>9.0cmX13.0cm</t>
        </is>
      </c>
      <c r="H11" s="14" t="inlineStr">
        <is>
          <t>Position of law tag label – Sewing at the middle of short si</t>
        </is>
      </c>
      <c r="I11" s="14" t="inlineStr">
        <is>
          <t>Law tag/Care label for mattress protector</t>
        </is>
      </c>
      <c r="J11" s="20" t="n">
        <v>1</v>
      </c>
      <c r="K11" s="20" t="inlineStr">
        <is>
          <t>pcs</t>
        </is>
      </c>
      <c r="L11" s="19" t="n">
        <v>2</v>
      </c>
      <c r="M11" s="17">
        <f>IFERROR(J11*(1+IFERROR(L11,0)/100)*VLOOKUP(B11,'1. Articles (SKUs)'!F:R,13,FALSE),"")</f>
        <v/>
      </c>
      <c r="N11" s="19" t="inlineStr"/>
    </row>
    <row r="12">
      <c r="A12" s="12" t="inlineStr">
        <is>
          <t>FT2</t>
        </is>
      </c>
      <c r="B12" s="12" t="inlineStr">
        <is>
          <t>GPFRIOMP38</t>
        </is>
      </c>
      <c r="C12" s="12" t="inlineStr">
        <is>
          <t>TWIN XL</t>
        </is>
      </c>
      <c r="D12" s="12" t="inlineStr">
        <is>
          <t>Packaging</t>
        </is>
      </c>
      <c r="E12" s="12" t="inlineStr">
        <is>
          <t>Packaging type</t>
        </is>
      </c>
      <c r="F12" s="12" t="inlineStr">
        <is>
          <t>Color paper insert with vinyl PVC Bag with white bound seam &amp; inside cardboard wrapped by product(Stiffener)</t>
        </is>
      </c>
      <c r="G12" s="12" t="inlineStr"/>
      <c r="H12" s="12" t="inlineStr"/>
      <c r="I12" s="12" t="inlineStr">
        <is>
          <t>Main</t>
        </is>
      </c>
      <c r="J12" s="20" t="n">
        <v>1</v>
      </c>
      <c r="K12" s="20" t="inlineStr">
        <is>
          <t>pcs</t>
        </is>
      </c>
      <c r="L12" s="19" t="n">
        <v>2</v>
      </c>
      <c r="M12" s="16">
        <f>IFERROR(J12*(1+IFERROR(L12,0)/100)*VLOOKUP(B12,'1. Articles (SKUs)'!F:R,13,FALSE),"")</f>
        <v/>
      </c>
      <c r="N12" s="19" t="inlineStr"/>
    </row>
    <row r="13">
      <c r="A13" s="14" t="inlineStr">
        <is>
          <t>FT2</t>
        </is>
      </c>
      <c r="B13" s="14" t="inlineStr">
        <is>
          <t>GPFRIOMP38</t>
        </is>
      </c>
      <c r="C13" s="14" t="inlineStr">
        <is>
          <t>TWIN XL</t>
        </is>
      </c>
      <c r="D13" s="14" t="inlineStr">
        <is>
          <t>PVC Bag</t>
        </is>
      </c>
      <c r="E13" s="14" t="inlineStr">
        <is>
          <t>Bag material</t>
        </is>
      </c>
      <c r="F13" s="14" t="inlineStr">
        <is>
          <t>12S (Thickness)- Transparent PVC Bag with 7S(Thickness) White PVC White Binding all around seam and 3# Nylon Coil White Zipper(No Hanger Loop on top)</t>
        </is>
      </c>
      <c r="G13" s="14" t="inlineStr"/>
      <c r="H13" s="14" t="inlineStr"/>
      <c r="I13" s="14" t="inlineStr">
        <is>
          <t>Mattress protector</t>
        </is>
      </c>
      <c r="J13" s="20" t="n">
        <v>1</v>
      </c>
      <c r="K13" s="20" t="inlineStr">
        <is>
          <t>pcs</t>
        </is>
      </c>
      <c r="L13" s="19" t="n">
        <v>2</v>
      </c>
      <c r="M13" s="17">
        <f>IFERROR(J13*(1+IFERROR(L13,0)/100)*VLOOKUP(B13,'1. Articles (SKUs)'!F:R,13,FALSE),"")</f>
        <v/>
      </c>
      <c r="N13" s="19" t="inlineStr"/>
    </row>
    <row r="14">
      <c r="A14" s="12" t="inlineStr">
        <is>
          <t>FT2</t>
        </is>
      </c>
      <c r="B14" s="12" t="inlineStr">
        <is>
          <t>GPFRIOMP38</t>
        </is>
      </c>
      <c r="C14" s="12" t="inlineStr">
        <is>
          <t>TWIN XL</t>
        </is>
      </c>
      <c r="D14" s="12" t="inlineStr">
        <is>
          <t>Insert Card</t>
        </is>
      </c>
      <c r="E14" s="12" t="inlineStr">
        <is>
          <t>Color paper insert material</t>
        </is>
      </c>
      <c r="F14" s="12" t="inlineStr">
        <is>
          <t>Printed Insert quality -  INSERT (“U” Shape) - Insert Material: 250g-300g White Card Paper with Coating both side</t>
        </is>
      </c>
      <c r="G14" s="12" t="inlineStr"/>
      <c r="H14" s="12" t="inlineStr"/>
      <c r="I14" s="12" t="inlineStr">
        <is>
          <t>Mattress protector</t>
        </is>
      </c>
      <c r="J14" s="20" t="n">
        <v>1</v>
      </c>
      <c r="K14" s="20" t="inlineStr">
        <is>
          <t>pcs</t>
        </is>
      </c>
      <c r="L14" s="19" t="n">
        <v>2</v>
      </c>
      <c r="M14" s="16">
        <f>IFERROR(J14*(1+IFERROR(L14,0)/100)*VLOOKUP(B14,'1. Articles (SKUs)'!F:R,13,FALSE),"")</f>
        <v/>
      </c>
      <c r="N14" s="19" t="inlineStr"/>
    </row>
    <row r="15">
      <c r="A15" s="14" t="inlineStr">
        <is>
          <t>FT2</t>
        </is>
      </c>
      <c r="B15" s="14" t="inlineStr">
        <is>
          <t>GPFRIOMP38</t>
        </is>
      </c>
      <c r="C15" s="14" t="inlineStr">
        <is>
          <t>TWIN XL</t>
        </is>
      </c>
      <c r="D15" s="14" t="inlineStr">
        <is>
          <t>Stiffener</t>
        </is>
      </c>
      <c r="E15" s="14" t="inlineStr">
        <is>
          <t>Cardboard material(Stiffener)</t>
        </is>
      </c>
      <c r="F15" s="14" t="inlineStr">
        <is>
          <t>Packaging inside need to put a “U”  1 ply thickness(1 layers with 1 layer corrugated ) in White Cardboard to maintain the shape before putting into the box</t>
        </is>
      </c>
      <c r="G15" s="14" t="inlineStr"/>
      <c r="H15" s="14" t="inlineStr"/>
      <c r="I15" s="14" t="inlineStr">
        <is>
          <t>Mattress protector</t>
        </is>
      </c>
      <c r="J15" s="20" t="n">
        <v>1</v>
      </c>
      <c r="K15" s="20" t="inlineStr">
        <is>
          <t>pcs</t>
        </is>
      </c>
      <c r="L15" s="19" t="n">
        <v>2</v>
      </c>
      <c r="M15" s="17">
        <f>IFERROR(J15*(1+IFERROR(L15,0)/100)*VLOOKUP(B15,'1. Articles (SKUs)'!F:R,13,FALSE),"")</f>
        <v/>
      </c>
      <c r="N15" s="19" t="inlineStr"/>
    </row>
    <row r="16">
      <c r="A16" s="12" t="inlineStr">
        <is>
          <t>FT2</t>
        </is>
      </c>
      <c r="B16" s="12" t="inlineStr">
        <is>
          <t>GPFRIOMP46</t>
        </is>
      </c>
      <c r="C16" s="12" t="inlineStr">
        <is>
          <t>FULL</t>
        </is>
      </c>
      <c r="D16" s="12" t="inlineStr">
        <is>
          <t>Thread</t>
        </is>
      </c>
      <c r="E16" s="12" t="inlineStr">
        <is>
          <t>Polyester sewing thread</t>
        </is>
      </c>
      <c r="F16" s="12" t="inlineStr">
        <is>
          <t>100% polyester spun</t>
        </is>
      </c>
      <c r="G16" s="12" t="inlineStr">
        <is>
          <t>TEX40 or 40/2</t>
        </is>
      </c>
      <c r="H16" s="12" t="inlineStr">
        <is>
          <t>All seams</t>
        </is>
      </c>
      <c r="I16" s="12" t="inlineStr">
        <is>
          <t>Mattress protector</t>
        </is>
      </c>
      <c r="J16" s="18" t="n"/>
      <c r="K16" s="19" t="inlineStr">
        <is>
          <t>meters</t>
        </is>
      </c>
      <c r="L16" s="19" t="n">
        <v>3</v>
      </c>
      <c r="M16" s="16">
        <f>IFERROR(J16*(1+IFERROR(L16,0)/100)*VLOOKUP(B16,'1. Articles (SKUs)'!F:R,13,FALSE),"")</f>
        <v/>
      </c>
      <c r="N16" s="19" t="inlineStr"/>
    </row>
    <row r="17">
      <c r="A17" s="14" t="inlineStr">
        <is>
          <t>FT2</t>
        </is>
      </c>
      <c r="B17" s="14" t="inlineStr">
        <is>
          <t>GPFRIOMP46</t>
        </is>
      </c>
      <c r="C17" s="14" t="inlineStr">
        <is>
          <t>FULL</t>
        </is>
      </c>
      <c r="D17" s="14" t="inlineStr">
        <is>
          <t>Elastic</t>
        </is>
      </c>
      <c r="E17" s="14" t="inlineStr">
        <is>
          <t>1/8" H Elastic band</t>
        </is>
      </c>
      <c r="F17" s="14" t="inlineStr">
        <is>
          <t>Rubber/polyester</t>
        </is>
      </c>
      <c r="G17" s="14" t="inlineStr">
        <is>
          <t>1/8"</t>
        </is>
      </c>
      <c r="H17" s="14" t="inlineStr">
        <is>
          <t>Around bottom edge</t>
        </is>
      </c>
      <c r="I17" s="14" t="inlineStr">
        <is>
          <t>Mattress protector</t>
        </is>
      </c>
      <c r="J17" s="18" t="n"/>
      <c r="K17" s="19" t="inlineStr">
        <is>
          <t>meters</t>
        </is>
      </c>
      <c r="L17" s="19" t="n">
        <v>3</v>
      </c>
      <c r="M17" s="17">
        <f>IFERROR(J17*(1+IFERROR(L17,0)/100)*VLOOKUP(B17,'1. Articles (SKUs)'!F:R,13,FALSE),"")</f>
        <v/>
      </c>
      <c r="N17" s="19" t="inlineStr"/>
    </row>
    <row r="18">
      <c r="A18" s="12" t="inlineStr">
        <is>
          <t>FT2</t>
        </is>
      </c>
      <c r="B18" s="12" t="inlineStr">
        <is>
          <t>GPFRIOMP46</t>
        </is>
      </c>
      <c r="C18" s="12" t="inlineStr">
        <is>
          <t>FULL</t>
        </is>
      </c>
      <c r="D18" s="12" t="inlineStr">
        <is>
          <t>Law Tag</t>
        </is>
      </c>
      <c r="E18" s="12" t="inlineStr">
        <is>
          <t>Non woven label with coating</t>
        </is>
      </c>
      <c r="F18" s="12" t="inlineStr">
        <is>
          <t>3M non woven material with white ground / black color font  (INK CANNOT DISCOLORATION AND STAIN ON PRODUCT)</t>
        </is>
      </c>
      <c r="G18" s="12" t="inlineStr">
        <is>
          <t>9.0cmX13.0cm</t>
        </is>
      </c>
      <c r="H18" s="12" t="inlineStr">
        <is>
          <t>Position of law tag label – Sewing at the middle of short si</t>
        </is>
      </c>
      <c r="I18" s="12" t="inlineStr">
        <is>
          <t>Law tag/Care label for mattress protector</t>
        </is>
      </c>
      <c r="J18" s="20" t="n">
        <v>1</v>
      </c>
      <c r="K18" s="20" t="inlineStr">
        <is>
          <t>pcs</t>
        </is>
      </c>
      <c r="L18" s="19" t="n">
        <v>2</v>
      </c>
      <c r="M18" s="16">
        <f>IFERROR(J18*(1+IFERROR(L18,0)/100)*VLOOKUP(B18,'1. Articles (SKUs)'!F:R,13,FALSE),"")</f>
        <v/>
      </c>
      <c r="N18" s="19" t="inlineStr"/>
    </row>
    <row r="19">
      <c r="A19" s="14" t="inlineStr">
        <is>
          <t>FT2</t>
        </is>
      </c>
      <c r="B19" s="14" t="inlineStr">
        <is>
          <t>GPFRIOMP46</t>
        </is>
      </c>
      <c r="C19" s="14" t="inlineStr">
        <is>
          <t>FULL</t>
        </is>
      </c>
      <c r="D19" s="14" t="inlineStr">
        <is>
          <t>Packaging</t>
        </is>
      </c>
      <c r="E19" s="14" t="inlineStr">
        <is>
          <t>Packaging type</t>
        </is>
      </c>
      <c r="F19" s="14" t="inlineStr">
        <is>
          <t>Color paper insert with vinyl PVC Bag with white bound seam &amp; inside cardboard wrapped by product(Stiffener)</t>
        </is>
      </c>
      <c r="G19" s="14" t="inlineStr"/>
      <c r="H19" s="14" t="inlineStr"/>
      <c r="I19" s="14" t="inlineStr">
        <is>
          <t>Main</t>
        </is>
      </c>
      <c r="J19" s="20" t="n">
        <v>1</v>
      </c>
      <c r="K19" s="20" t="inlineStr">
        <is>
          <t>pcs</t>
        </is>
      </c>
      <c r="L19" s="19" t="n">
        <v>2</v>
      </c>
      <c r="M19" s="17">
        <f>IFERROR(J19*(1+IFERROR(L19,0)/100)*VLOOKUP(B19,'1. Articles (SKUs)'!F:R,13,FALSE),"")</f>
        <v/>
      </c>
      <c r="N19" s="19" t="inlineStr"/>
    </row>
    <row r="20">
      <c r="A20" s="12" t="inlineStr">
        <is>
          <t>FT2</t>
        </is>
      </c>
      <c r="B20" s="12" t="inlineStr">
        <is>
          <t>GPFRIOMP46</t>
        </is>
      </c>
      <c r="C20" s="12" t="inlineStr">
        <is>
          <t>FULL</t>
        </is>
      </c>
      <c r="D20" s="12" t="inlineStr">
        <is>
          <t>PVC Bag</t>
        </is>
      </c>
      <c r="E20" s="12" t="inlineStr">
        <is>
          <t>Bag material</t>
        </is>
      </c>
      <c r="F20" s="12" t="inlineStr">
        <is>
          <t>12S (Thickness)- Transparent PVC Bag with 7S(Thickness) White PVC White Binding all around seam and 3# Nylon Coil White Zipper(No Hanger Loop on top)</t>
        </is>
      </c>
      <c r="G20" s="12" t="inlineStr"/>
      <c r="H20" s="12" t="inlineStr"/>
      <c r="I20" s="12" t="inlineStr">
        <is>
          <t>Mattress protector</t>
        </is>
      </c>
      <c r="J20" s="20" t="n">
        <v>1</v>
      </c>
      <c r="K20" s="20" t="inlineStr">
        <is>
          <t>pcs</t>
        </is>
      </c>
      <c r="L20" s="19" t="n">
        <v>2</v>
      </c>
      <c r="M20" s="16">
        <f>IFERROR(J20*(1+IFERROR(L20,0)/100)*VLOOKUP(B20,'1. Articles (SKUs)'!F:R,13,FALSE),"")</f>
        <v/>
      </c>
      <c r="N20" s="19" t="inlineStr"/>
    </row>
    <row r="21">
      <c r="A21" s="14" t="inlineStr">
        <is>
          <t>FT2</t>
        </is>
      </c>
      <c r="B21" s="14" t="inlineStr">
        <is>
          <t>GPFRIOMP46</t>
        </is>
      </c>
      <c r="C21" s="14" t="inlineStr">
        <is>
          <t>FULL</t>
        </is>
      </c>
      <c r="D21" s="14" t="inlineStr">
        <is>
          <t>Insert Card</t>
        </is>
      </c>
      <c r="E21" s="14" t="inlineStr">
        <is>
          <t>Color paper insert material</t>
        </is>
      </c>
      <c r="F21" s="14" t="inlineStr">
        <is>
          <t>Printed Insert quality -  INSERT (“U” Shape) - Insert Material: 250g-300g White Card Paper with Coating both side</t>
        </is>
      </c>
      <c r="G21" s="14" t="inlineStr"/>
      <c r="H21" s="14" t="inlineStr"/>
      <c r="I21" s="14" t="inlineStr">
        <is>
          <t>Mattress protector</t>
        </is>
      </c>
      <c r="J21" s="20" t="n">
        <v>1</v>
      </c>
      <c r="K21" s="20" t="inlineStr">
        <is>
          <t>pcs</t>
        </is>
      </c>
      <c r="L21" s="19" t="n">
        <v>2</v>
      </c>
      <c r="M21" s="17">
        <f>IFERROR(J21*(1+IFERROR(L21,0)/100)*VLOOKUP(B21,'1. Articles (SKUs)'!F:R,13,FALSE),"")</f>
        <v/>
      </c>
      <c r="N21" s="19" t="inlineStr"/>
    </row>
    <row r="22">
      <c r="A22" s="12" t="inlineStr">
        <is>
          <t>FT2</t>
        </is>
      </c>
      <c r="B22" s="12" t="inlineStr">
        <is>
          <t>GPFRIOMP46</t>
        </is>
      </c>
      <c r="C22" s="12" t="inlineStr">
        <is>
          <t>FULL</t>
        </is>
      </c>
      <c r="D22" s="12" t="inlineStr">
        <is>
          <t>Stiffener</t>
        </is>
      </c>
      <c r="E22" s="12" t="inlineStr">
        <is>
          <t>Cardboard material(Stiffener)</t>
        </is>
      </c>
      <c r="F22" s="12" t="inlineStr">
        <is>
          <t>Packaging inside need to put a “U”  1 ply thickness(1 layers with 1 layer corrugated ) in White Cardboard to maintain the shape before putting into the box</t>
        </is>
      </c>
      <c r="G22" s="12" t="inlineStr"/>
      <c r="H22" s="12" t="inlineStr"/>
      <c r="I22" s="12" t="inlineStr">
        <is>
          <t>Mattress protector</t>
        </is>
      </c>
      <c r="J22" s="20" t="n">
        <v>1</v>
      </c>
      <c r="K22" s="20" t="inlineStr">
        <is>
          <t>pcs</t>
        </is>
      </c>
      <c r="L22" s="19" t="n">
        <v>2</v>
      </c>
      <c r="M22" s="16">
        <f>IFERROR(J22*(1+IFERROR(L22,0)/100)*VLOOKUP(B22,'1. Articles (SKUs)'!F:R,13,FALSE),"")</f>
        <v/>
      </c>
      <c r="N22" s="19" t="inlineStr"/>
    </row>
    <row r="23">
      <c r="A23" s="14" t="inlineStr">
        <is>
          <t>FT2</t>
        </is>
      </c>
      <c r="B23" s="14" t="inlineStr">
        <is>
          <t>GPFRIOMP80</t>
        </is>
      </c>
      <c r="C23" s="14" t="inlineStr">
        <is>
          <t>FULL XL</t>
        </is>
      </c>
      <c r="D23" s="14" t="inlineStr">
        <is>
          <t>Thread</t>
        </is>
      </c>
      <c r="E23" s="14" t="inlineStr">
        <is>
          <t>Polyester sewing thread</t>
        </is>
      </c>
      <c r="F23" s="14" t="inlineStr">
        <is>
          <t>100% polyester spun</t>
        </is>
      </c>
      <c r="G23" s="14" t="inlineStr">
        <is>
          <t>TEX40 or 40/2</t>
        </is>
      </c>
      <c r="H23" s="14" t="inlineStr">
        <is>
          <t>All seams</t>
        </is>
      </c>
      <c r="I23" s="14" t="inlineStr">
        <is>
          <t>Mattress protector</t>
        </is>
      </c>
      <c r="J23" s="18" t="n"/>
      <c r="K23" s="19" t="inlineStr">
        <is>
          <t>meters</t>
        </is>
      </c>
      <c r="L23" s="19" t="n">
        <v>3</v>
      </c>
      <c r="M23" s="17">
        <f>IFERROR(J23*(1+IFERROR(L23,0)/100)*VLOOKUP(B23,'1. Articles (SKUs)'!F:R,13,FALSE),"")</f>
        <v/>
      </c>
      <c r="N23" s="19" t="inlineStr"/>
    </row>
    <row r="24">
      <c r="A24" s="12" t="inlineStr">
        <is>
          <t>FT2</t>
        </is>
      </c>
      <c r="B24" s="12" t="inlineStr">
        <is>
          <t>GPFRIOMP80</t>
        </is>
      </c>
      <c r="C24" s="12" t="inlineStr">
        <is>
          <t>FULL XL</t>
        </is>
      </c>
      <c r="D24" s="12" t="inlineStr">
        <is>
          <t>Elastic</t>
        </is>
      </c>
      <c r="E24" s="12" t="inlineStr">
        <is>
          <t>1/8" H Elastic band</t>
        </is>
      </c>
      <c r="F24" s="12" t="inlineStr">
        <is>
          <t>Rubber/polyester</t>
        </is>
      </c>
      <c r="G24" s="12" t="inlineStr">
        <is>
          <t>1/8"</t>
        </is>
      </c>
      <c r="H24" s="12" t="inlineStr">
        <is>
          <t>Around bottom edge</t>
        </is>
      </c>
      <c r="I24" s="12" t="inlineStr">
        <is>
          <t>Mattress protector</t>
        </is>
      </c>
      <c r="J24" s="18" t="n"/>
      <c r="K24" s="19" t="inlineStr">
        <is>
          <t>meters</t>
        </is>
      </c>
      <c r="L24" s="19" t="n">
        <v>3</v>
      </c>
      <c r="M24" s="16">
        <f>IFERROR(J24*(1+IFERROR(L24,0)/100)*VLOOKUP(B24,'1. Articles (SKUs)'!F:R,13,FALSE),"")</f>
        <v/>
      </c>
      <c r="N24" s="19" t="inlineStr"/>
    </row>
    <row r="25">
      <c r="A25" s="14" t="inlineStr">
        <is>
          <t>FT2</t>
        </is>
      </c>
      <c r="B25" s="14" t="inlineStr">
        <is>
          <t>GPFRIOMP80</t>
        </is>
      </c>
      <c r="C25" s="14" t="inlineStr">
        <is>
          <t>FULL XL</t>
        </is>
      </c>
      <c r="D25" s="14" t="inlineStr">
        <is>
          <t>Law Tag</t>
        </is>
      </c>
      <c r="E25" s="14" t="inlineStr">
        <is>
          <t>Non woven label with coating</t>
        </is>
      </c>
      <c r="F25" s="14" t="inlineStr">
        <is>
          <t>3M non woven material with white ground / black color font  (INK CANNOT DISCOLORATION AND STAIN ON PRODUCT)</t>
        </is>
      </c>
      <c r="G25" s="14" t="inlineStr">
        <is>
          <t>9.0cmX13.0cm</t>
        </is>
      </c>
      <c r="H25" s="14" t="inlineStr">
        <is>
          <t>Position of law tag label – Sewing at the middle of short si</t>
        </is>
      </c>
      <c r="I25" s="14" t="inlineStr">
        <is>
          <t>Law tag/Care label for mattress protector</t>
        </is>
      </c>
      <c r="J25" s="20" t="n">
        <v>1</v>
      </c>
      <c r="K25" s="20" t="inlineStr">
        <is>
          <t>pcs</t>
        </is>
      </c>
      <c r="L25" s="19" t="n">
        <v>2</v>
      </c>
      <c r="M25" s="17">
        <f>IFERROR(J25*(1+IFERROR(L25,0)/100)*VLOOKUP(B25,'1. Articles (SKUs)'!F:R,13,FALSE),"")</f>
        <v/>
      </c>
      <c r="N25" s="19" t="inlineStr"/>
    </row>
    <row r="26">
      <c r="A26" s="12" t="inlineStr">
        <is>
          <t>FT2</t>
        </is>
      </c>
      <c r="B26" s="12" t="inlineStr">
        <is>
          <t>GPFRIOMP80</t>
        </is>
      </c>
      <c r="C26" s="12" t="inlineStr">
        <is>
          <t>FULL XL</t>
        </is>
      </c>
      <c r="D26" s="12" t="inlineStr">
        <is>
          <t>Packaging</t>
        </is>
      </c>
      <c r="E26" s="12" t="inlineStr">
        <is>
          <t>Packaging type</t>
        </is>
      </c>
      <c r="F26" s="12" t="inlineStr">
        <is>
          <t>Color paper insert with vinyl PVC Bag with white bound seam &amp; inside cardboard wrapped by product(Stiffener)</t>
        </is>
      </c>
      <c r="G26" s="12" t="inlineStr"/>
      <c r="H26" s="12" t="inlineStr"/>
      <c r="I26" s="12" t="inlineStr">
        <is>
          <t>Main</t>
        </is>
      </c>
      <c r="J26" s="20" t="n">
        <v>1</v>
      </c>
      <c r="K26" s="20" t="inlineStr">
        <is>
          <t>pcs</t>
        </is>
      </c>
      <c r="L26" s="19" t="n">
        <v>2</v>
      </c>
      <c r="M26" s="16">
        <f>IFERROR(J26*(1+IFERROR(L26,0)/100)*VLOOKUP(B26,'1. Articles (SKUs)'!F:R,13,FALSE),"")</f>
        <v/>
      </c>
      <c r="N26" s="19" t="inlineStr"/>
    </row>
    <row r="27">
      <c r="A27" s="14" t="inlineStr">
        <is>
          <t>FT2</t>
        </is>
      </c>
      <c r="B27" s="14" t="inlineStr">
        <is>
          <t>GPFRIOMP80</t>
        </is>
      </c>
      <c r="C27" s="14" t="inlineStr">
        <is>
          <t>FULL XL</t>
        </is>
      </c>
      <c r="D27" s="14" t="inlineStr">
        <is>
          <t>PVC Bag</t>
        </is>
      </c>
      <c r="E27" s="14" t="inlineStr">
        <is>
          <t>Bag material</t>
        </is>
      </c>
      <c r="F27" s="14" t="inlineStr">
        <is>
          <t>12S (Thickness)- Transparent PVC Bag with 7S(Thickness) White PVC White Binding all around seam and 3# Nylon Coil White Zipper(No Hanger Loop on top)</t>
        </is>
      </c>
      <c r="G27" s="14" t="inlineStr"/>
      <c r="H27" s="14" t="inlineStr"/>
      <c r="I27" s="14" t="inlineStr">
        <is>
          <t>Mattress protector</t>
        </is>
      </c>
      <c r="J27" s="20" t="n">
        <v>1</v>
      </c>
      <c r="K27" s="20" t="inlineStr">
        <is>
          <t>pcs</t>
        </is>
      </c>
      <c r="L27" s="19" t="n">
        <v>2</v>
      </c>
      <c r="M27" s="17">
        <f>IFERROR(J27*(1+IFERROR(L27,0)/100)*VLOOKUP(B27,'1. Articles (SKUs)'!F:R,13,FALSE),"")</f>
        <v/>
      </c>
      <c r="N27" s="19" t="inlineStr"/>
    </row>
    <row r="28">
      <c r="A28" s="12" t="inlineStr">
        <is>
          <t>FT2</t>
        </is>
      </c>
      <c r="B28" s="12" t="inlineStr">
        <is>
          <t>GPFRIOMP80</t>
        </is>
      </c>
      <c r="C28" s="12" t="inlineStr">
        <is>
          <t>FULL XL</t>
        </is>
      </c>
      <c r="D28" s="12" t="inlineStr">
        <is>
          <t>Insert Card</t>
        </is>
      </c>
      <c r="E28" s="12" t="inlineStr">
        <is>
          <t>Color paper insert material</t>
        </is>
      </c>
      <c r="F28" s="12" t="inlineStr">
        <is>
          <t>Printed Insert quality -  INSERT (“U” Shape) - Insert Material: 250g-300g White Card Paper with Coating both side</t>
        </is>
      </c>
      <c r="G28" s="12" t="inlineStr"/>
      <c r="H28" s="12" t="inlineStr"/>
      <c r="I28" s="12" t="inlineStr">
        <is>
          <t>Mattress protector</t>
        </is>
      </c>
      <c r="J28" s="20" t="n">
        <v>1</v>
      </c>
      <c r="K28" s="20" t="inlineStr">
        <is>
          <t>pcs</t>
        </is>
      </c>
      <c r="L28" s="19" t="n">
        <v>2</v>
      </c>
      <c r="M28" s="16">
        <f>IFERROR(J28*(1+IFERROR(L28,0)/100)*VLOOKUP(B28,'1. Articles (SKUs)'!F:R,13,FALSE),"")</f>
        <v/>
      </c>
      <c r="N28" s="19" t="inlineStr"/>
    </row>
    <row r="29">
      <c r="A29" s="14" t="inlineStr">
        <is>
          <t>FT2</t>
        </is>
      </c>
      <c r="B29" s="14" t="inlineStr">
        <is>
          <t>GPFRIOMP80</t>
        </is>
      </c>
      <c r="C29" s="14" t="inlineStr">
        <is>
          <t>FULL XL</t>
        </is>
      </c>
      <c r="D29" s="14" t="inlineStr">
        <is>
          <t>Stiffener</t>
        </is>
      </c>
      <c r="E29" s="14" t="inlineStr">
        <is>
          <t>Cardboard material(Stiffener)</t>
        </is>
      </c>
      <c r="F29" s="14" t="inlineStr">
        <is>
          <t>Packaging inside need to put a “U”  1 ply thickness(1 layers with 1 layer corrugated ) in White Cardboard to maintain the shape before putting into the box</t>
        </is>
      </c>
      <c r="G29" s="14" t="inlineStr"/>
      <c r="H29" s="14" t="inlineStr"/>
      <c r="I29" s="14" t="inlineStr">
        <is>
          <t>Mattress protector</t>
        </is>
      </c>
      <c r="J29" s="20" t="n">
        <v>1</v>
      </c>
      <c r="K29" s="20" t="inlineStr">
        <is>
          <t>pcs</t>
        </is>
      </c>
      <c r="L29" s="19" t="n">
        <v>2</v>
      </c>
      <c r="M29" s="17">
        <f>IFERROR(J29*(1+IFERROR(L29,0)/100)*VLOOKUP(B29,'1. Articles (SKUs)'!F:R,13,FALSE),"")</f>
        <v/>
      </c>
      <c r="N29" s="19" t="inlineStr"/>
    </row>
    <row r="30">
      <c r="A30" s="12" t="inlineStr">
        <is>
          <t>FT2</t>
        </is>
      </c>
      <c r="B30" s="12" t="inlineStr">
        <is>
          <t>GPFRIOMP50</t>
        </is>
      </c>
      <c r="C30" s="12" t="inlineStr">
        <is>
          <t>QUEEN</t>
        </is>
      </c>
      <c r="D30" s="12" t="inlineStr">
        <is>
          <t>Thread</t>
        </is>
      </c>
      <c r="E30" s="12" t="inlineStr">
        <is>
          <t>Polyester sewing thread</t>
        </is>
      </c>
      <c r="F30" s="12" t="inlineStr">
        <is>
          <t>100% polyester spun</t>
        </is>
      </c>
      <c r="G30" s="12" t="inlineStr">
        <is>
          <t>TEX40 or 40/2</t>
        </is>
      </c>
      <c r="H30" s="12" t="inlineStr">
        <is>
          <t>All seams</t>
        </is>
      </c>
      <c r="I30" s="12" t="inlineStr">
        <is>
          <t>Mattress protector</t>
        </is>
      </c>
      <c r="J30" s="18" t="n"/>
      <c r="K30" s="19" t="inlineStr">
        <is>
          <t>meters</t>
        </is>
      </c>
      <c r="L30" s="19" t="n">
        <v>3</v>
      </c>
      <c r="M30" s="16">
        <f>IFERROR(J30*(1+IFERROR(L30,0)/100)*VLOOKUP(B30,'1. Articles (SKUs)'!F:R,13,FALSE),"")</f>
        <v/>
      </c>
      <c r="N30" s="19" t="inlineStr"/>
    </row>
    <row r="31">
      <c r="A31" s="14" t="inlineStr">
        <is>
          <t>FT2</t>
        </is>
      </c>
      <c r="B31" s="14" t="inlineStr">
        <is>
          <t>GPFRIOMP50</t>
        </is>
      </c>
      <c r="C31" s="14" t="inlineStr">
        <is>
          <t>QUEEN</t>
        </is>
      </c>
      <c r="D31" s="14" t="inlineStr">
        <is>
          <t>Elastic</t>
        </is>
      </c>
      <c r="E31" s="14" t="inlineStr">
        <is>
          <t>1/8" H Elastic band</t>
        </is>
      </c>
      <c r="F31" s="14" t="inlineStr">
        <is>
          <t>Rubber/polyester</t>
        </is>
      </c>
      <c r="G31" s="14" t="inlineStr">
        <is>
          <t>1/8"</t>
        </is>
      </c>
      <c r="H31" s="14" t="inlineStr">
        <is>
          <t>Around bottom edge</t>
        </is>
      </c>
      <c r="I31" s="14" t="inlineStr">
        <is>
          <t>Mattress protector</t>
        </is>
      </c>
      <c r="J31" s="18" t="n"/>
      <c r="K31" s="19" t="inlineStr">
        <is>
          <t>meters</t>
        </is>
      </c>
      <c r="L31" s="19" t="n">
        <v>3</v>
      </c>
      <c r="M31" s="17">
        <f>IFERROR(J31*(1+IFERROR(L31,0)/100)*VLOOKUP(B31,'1. Articles (SKUs)'!F:R,13,FALSE),"")</f>
        <v/>
      </c>
      <c r="N31" s="19" t="inlineStr"/>
    </row>
    <row r="32">
      <c r="A32" s="12" t="inlineStr">
        <is>
          <t>FT2</t>
        </is>
      </c>
      <c r="B32" s="12" t="inlineStr">
        <is>
          <t>GPFRIOMP50</t>
        </is>
      </c>
      <c r="C32" s="12" t="inlineStr">
        <is>
          <t>QUEEN</t>
        </is>
      </c>
      <c r="D32" s="12" t="inlineStr">
        <is>
          <t>Law Tag</t>
        </is>
      </c>
      <c r="E32" s="12" t="inlineStr">
        <is>
          <t>Non woven label with coating</t>
        </is>
      </c>
      <c r="F32" s="12" t="inlineStr">
        <is>
          <t>3M non woven material with white ground / black color font  (INK CANNOT DISCOLORATION AND STAIN ON PRODUCT)</t>
        </is>
      </c>
      <c r="G32" s="12" t="inlineStr">
        <is>
          <t>9.0cmX13.0cm</t>
        </is>
      </c>
      <c r="H32" s="12" t="inlineStr">
        <is>
          <t>Position of law tag label – Sewing at the middle of short si</t>
        </is>
      </c>
      <c r="I32" s="12" t="inlineStr">
        <is>
          <t>Law tag/Care label for mattress protector</t>
        </is>
      </c>
      <c r="J32" s="20" t="n">
        <v>1</v>
      </c>
      <c r="K32" s="20" t="inlineStr">
        <is>
          <t>pcs</t>
        </is>
      </c>
      <c r="L32" s="19" t="n">
        <v>2</v>
      </c>
      <c r="M32" s="16">
        <f>IFERROR(J32*(1+IFERROR(L32,0)/100)*VLOOKUP(B32,'1. Articles (SKUs)'!F:R,13,FALSE),"")</f>
        <v/>
      </c>
      <c r="N32" s="19" t="inlineStr"/>
    </row>
    <row r="33">
      <c r="A33" s="14" t="inlineStr">
        <is>
          <t>FT2</t>
        </is>
      </c>
      <c r="B33" s="14" t="inlineStr">
        <is>
          <t>GPFRIOMP50</t>
        </is>
      </c>
      <c r="C33" s="14" t="inlineStr">
        <is>
          <t>QUEEN</t>
        </is>
      </c>
      <c r="D33" s="14" t="inlineStr">
        <is>
          <t>Packaging</t>
        </is>
      </c>
      <c r="E33" s="14" t="inlineStr">
        <is>
          <t>Packaging type</t>
        </is>
      </c>
      <c r="F33" s="14" t="inlineStr">
        <is>
          <t>Color paper insert with vinyl PVC Bag with white bound seam &amp; inside cardboard wrapped by product(Stiffener)</t>
        </is>
      </c>
      <c r="G33" s="14" t="inlineStr"/>
      <c r="H33" s="14" t="inlineStr"/>
      <c r="I33" s="14" t="inlineStr">
        <is>
          <t>Main</t>
        </is>
      </c>
      <c r="J33" s="20" t="n">
        <v>1</v>
      </c>
      <c r="K33" s="20" t="inlineStr">
        <is>
          <t>pcs</t>
        </is>
      </c>
      <c r="L33" s="19" t="n">
        <v>2</v>
      </c>
      <c r="M33" s="17">
        <f>IFERROR(J33*(1+IFERROR(L33,0)/100)*VLOOKUP(B33,'1. Articles (SKUs)'!F:R,13,FALSE),"")</f>
        <v/>
      </c>
      <c r="N33" s="19" t="inlineStr"/>
    </row>
    <row r="34">
      <c r="A34" s="12" t="inlineStr">
        <is>
          <t>FT2</t>
        </is>
      </c>
      <c r="B34" s="12" t="inlineStr">
        <is>
          <t>GPFRIOMP50</t>
        </is>
      </c>
      <c r="C34" s="12" t="inlineStr">
        <is>
          <t>QUEEN</t>
        </is>
      </c>
      <c r="D34" s="12" t="inlineStr">
        <is>
          <t>PVC Bag</t>
        </is>
      </c>
      <c r="E34" s="12" t="inlineStr">
        <is>
          <t>Bag material</t>
        </is>
      </c>
      <c r="F34" s="12" t="inlineStr">
        <is>
          <t>12S (Thickness)- Transparent PVC Bag with 7S(Thickness) White PVC White Binding all around seam and 3# Nylon Coil White Zipper(No Hanger Loop on top)</t>
        </is>
      </c>
      <c r="G34" s="12" t="inlineStr"/>
      <c r="H34" s="12" t="inlineStr"/>
      <c r="I34" s="12" t="inlineStr">
        <is>
          <t>Mattress protector</t>
        </is>
      </c>
      <c r="J34" s="20" t="n">
        <v>1</v>
      </c>
      <c r="K34" s="20" t="inlineStr">
        <is>
          <t>pcs</t>
        </is>
      </c>
      <c r="L34" s="19" t="n">
        <v>2</v>
      </c>
      <c r="M34" s="16">
        <f>IFERROR(J34*(1+IFERROR(L34,0)/100)*VLOOKUP(B34,'1. Articles (SKUs)'!F:R,13,FALSE),"")</f>
        <v/>
      </c>
      <c r="N34" s="19" t="inlineStr"/>
    </row>
    <row r="35">
      <c r="A35" s="14" t="inlineStr">
        <is>
          <t>FT2</t>
        </is>
      </c>
      <c r="B35" s="14" t="inlineStr">
        <is>
          <t>GPFRIOMP50</t>
        </is>
      </c>
      <c r="C35" s="14" t="inlineStr">
        <is>
          <t>QUEEN</t>
        </is>
      </c>
      <c r="D35" s="14" t="inlineStr">
        <is>
          <t>Insert Card</t>
        </is>
      </c>
      <c r="E35" s="14" t="inlineStr">
        <is>
          <t>Color paper insert material</t>
        </is>
      </c>
      <c r="F35" s="14" t="inlineStr">
        <is>
          <t>Printed Insert quality -  INSERT (“U” Shape) - Insert Material: 250g-300g White Card Paper with Coating both side</t>
        </is>
      </c>
      <c r="G35" s="14" t="inlineStr"/>
      <c r="H35" s="14" t="inlineStr"/>
      <c r="I35" s="14" t="inlineStr">
        <is>
          <t>Mattress protector</t>
        </is>
      </c>
      <c r="J35" s="20" t="n">
        <v>1</v>
      </c>
      <c r="K35" s="20" t="inlineStr">
        <is>
          <t>pcs</t>
        </is>
      </c>
      <c r="L35" s="19" t="n">
        <v>2</v>
      </c>
      <c r="M35" s="17">
        <f>IFERROR(J35*(1+IFERROR(L35,0)/100)*VLOOKUP(B35,'1. Articles (SKUs)'!F:R,13,FALSE),"")</f>
        <v/>
      </c>
      <c r="N35" s="19" t="inlineStr"/>
    </row>
    <row r="36">
      <c r="A36" s="12" t="inlineStr">
        <is>
          <t>FT2</t>
        </is>
      </c>
      <c r="B36" s="12" t="inlineStr">
        <is>
          <t>GPFRIOMP50</t>
        </is>
      </c>
      <c r="C36" s="12" t="inlineStr">
        <is>
          <t>QUEEN</t>
        </is>
      </c>
      <c r="D36" s="12" t="inlineStr">
        <is>
          <t>Stiffener</t>
        </is>
      </c>
      <c r="E36" s="12" t="inlineStr">
        <is>
          <t>Cardboard material(Stiffener)</t>
        </is>
      </c>
      <c r="F36" s="12" t="inlineStr">
        <is>
          <t>Packaging inside need to put a “U”  1 ply thickness(1 layers with 1 layer corrugated ) in White Cardboard to maintain the shape before putting into the box</t>
        </is>
      </c>
      <c r="G36" s="12" t="inlineStr"/>
      <c r="H36" s="12" t="inlineStr"/>
      <c r="I36" s="12" t="inlineStr">
        <is>
          <t>Mattress protector</t>
        </is>
      </c>
      <c r="J36" s="20" t="n">
        <v>1</v>
      </c>
      <c r="K36" s="20" t="inlineStr">
        <is>
          <t>pcs</t>
        </is>
      </c>
      <c r="L36" s="19" t="n">
        <v>2</v>
      </c>
      <c r="M36" s="16">
        <f>IFERROR(J36*(1+IFERROR(L36,0)/100)*VLOOKUP(B36,'1. Articles (SKUs)'!F:R,13,FALSE),"")</f>
        <v/>
      </c>
      <c r="N36" s="19" t="inlineStr"/>
    </row>
    <row r="37">
      <c r="A37" s="14" t="inlineStr">
        <is>
          <t>FT2</t>
        </is>
      </c>
      <c r="B37" s="14" t="inlineStr">
        <is>
          <t>GPFRIOMP78</t>
        </is>
      </c>
      <c r="C37" s="14" t="inlineStr">
        <is>
          <t>KING</t>
        </is>
      </c>
      <c r="D37" s="14" t="inlineStr">
        <is>
          <t>Thread</t>
        </is>
      </c>
      <c r="E37" s="14" t="inlineStr">
        <is>
          <t>Polyester sewing thread</t>
        </is>
      </c>
      <c r="F37" s="14" t="inlineStr">
        <is>
          <t>100% polyester spun</t>
        </is>
      </c>
      <c r="G37" s="14" t="inlineStr">
        <is>
          <t>TEX40 or 40/2</t>
        </is>
      </c>
      <c r="H37" s="14" t="inlineStr">
        <is>
          <t>All seams</t>
        </is>
      </c>
      <c r="I37" s="14" t="inlineStr">
        <is>
          <t>Mattress protector</t>
        </is>
      </c>
      <c r="J37" s="18" t="n"/>
      <c r="K37" s="19" t="inlineStr">
        <is>
          <t>meters</t>
        </is>
      </c>
      <c r="L37" s="19" t="n">
        <v>3</v>
      </c>
      <c r="M37" s="17">
        <f>IFERROR(J37*(1+IFERROR(L37,0)/100)*VLOOKUP(B37,'1. Articles (SKUs)'!F:R,13,FALSE),"")</f>
        <v/>
      </c>
      <c r="N37" s="19" t="inlineStr"/>
    </row>
    <row r="38">
      <c r="A38" s="12" t="inlineStr">
        <is>
          <t>FT2</t>
        </is>
      </c>
      <c r="B38" s="12" t="inlineStr">
        <is>
          <t>GPFRIOMP78</t>
        </is>
      </c>
      <c r="C38" s="12" t="inlineStr">
        <is>
          <t>KING</t>
        </is>
      </c>
      <c r="D38" s="12" t="inlineStr">
        <is>
          <t>Elastic</t>
        </is>
      </c>
      <c r="E38" s="12" t="inlineStr">
        <is>
          <t>1/8" H Elastic band</t>
        </is>
      </c>
      <c r="F38" s="12" t="inlineStr">
        <is>
          <t>Rubber/polyester</t>
        </is>
      </c>
      <c r="G38" s="12" t="inlineStr">
        <is>
          <t>1/8"</t>
        </is>
      </c>
      <c r="H38" s="12" t="inlineStr">
        <is>
          <t>Around bottom edge</t>
        </is>
      </c>
      <c r="I38" s="12" t="inlineStr">
        <is>
          <t>Mattress protector</t>
        </is>
      </c>
      <c r="J38" s="18" t="n"/>
      <c r="K38" s="19" t="inlineStr">
        <is>
          <t>meters</t>
        </is>
      </c>
      <c r="L38" s="19" t="n">
        <v>3</v>
      </c>
      <c r="M38" s="16">
        <f>IFERROR(J38*(1+IFERROR(L38,0)/100)*VLOOKUP(B38,'1. Articles (SKUs)'!F:R,13,FALSE),"")</f>
        <v/>
      </c>
      <c r="N38" s="19" t="inlineStr"/>
    </row>
    <row r="39">
      <c r="A39" s="14" t="inlineStr">
        <is>
          <t>FT2</t>
        </is>
      </c>
      <c r="B39" s="14" t="inlineStr">
        <is>
          <t>GPFRIOMP78</t>
        </is>
      </c>
      <c r="C39" s="14" t="inlineStr">
        <is>
          <t>KING</t>
        </is>
      </c>
      <c r="D39" s="14" t="inlineStr">
        <is>
          <t>Law Tag</t>
        </is>
      </c>
      <c r="E39" s="14" t="inlineStr">
        <is>
          <t>Non woven label with coating</t>
        </is>
      </c>
      <c r="F39" s="14" t="inlineStr">
        <is>
          <t>3M non woven material with white ground / black color font  (INK CANNOT DISCOLORATION AND STAIN ON PRODUCT)</t>
        </is>
      </c>
      <c r="G39" s="14" t="inlineStr">
        <is>
          <t>9.0cmX13.0cm</t>
        </is>
      </c>
      <c r="H39" s="14" t="inlineStr">
        <is>
          <t>Position of law tag label – Sewing at the middle of short si</t>
        </is>
      </c>
      <c r="I39" s="14" t="inlineStr">
        <is>
          <t>Law tag/Care label for mattress protector</t>
        </is>
      </c>
      <c r="J39" s="20" t="n">
        <v>1</v>
      </c>
      <c r="K39" s="20" t="inlineStr">
        <is>
          <t>pcs</t>
        </is>
      </c>
      <c r="L39" s="19" t="n">
        <v>2</v>
      </c>
      <c r="M39" s="17">
        <f>IFERROR(J39*(1+IFERROR(L39,0)/100)*VLOOKUP(B39,'1. Articles (SKUs)'!F:R,13,FALSE),"")</f>
        <v/>
      </c>
      <c r="N39" s="19" t="inlineStr"/>
    </row>
    <row r="40">
      <c r="A40" s="12" t="inlineStr">
        <is>
          <t>FT2</t>
        </is>
      </c>
      <c r="B40" s="12" t="inlineStr">
        <is>
          <t>GPFRIOMP78</t>
        </is>
      </c>
      <c r="C40" s="12" t="inlineStr">
        <is>
          <t>KING</t>
        </is>
      </c>
      <c r="D40" s="12" t="inlineStr">
        <is>
          <t>Packaging</t>
        </is>
      </c>
      <c r="E40" s="12" t="inlineStr">
        <is>
          <t>Packaging type</t>
        </is>
      </c>
      <c r="F40" s="12" t="inlineStr">
        <is>
          <t>Color paper insert with vinyl PVC Bag with white bound seam &amp; inside cardboard wrapped by product(Stiffener)</t>
        </is>
      </c>
      <c r="G40" s="12" t="inlineStr"/>
      <c r="H40" s="12" t="inlineStr"/>
      <c r="I40" s="12" t="inlineStr">
        <is>
          <t>Main</t>
        </is>
      </c>
      <c r="J40" s="20" t="n">
        <v>1</v>
      </c>
      <c r="K40" s="20" t="inlineStr">
        <is>
          <t>pcs</t>
        </is>
      </c>
      <c r="L40" s="19" t="n">
        <v>2</v>
      </c>
      <c r="M40" s="16">
        <f>IFERROR(J40*(1+IFERROR(L40,0)/100)*VLOOKUP(B40,'1. Articles (SKUs)'!F:R,13,FALSE),"")</f>
        <v/>
      </c>
      <c r="N40" s="19" t="inlineStr"/>
    </row>
    <row r="41">
      <c r="A41" s="14" t="inlineStr">
        <is>
          <t>FT2</t>
        </is>
      </c>
      <c r="B41" s="14" t="inlineStr">
        <is>
          <t>GPFRIOMP78</t>
        </is>
      </c>
      <c r="C41" s="14" t="inlineStr">
        <is>
          <t>KING</t>
        </is>
      </c>
      <c r="D41" s="14" t="inlineStr">
        <is>
          <t>PVC Bag</t>
        </is>
      </c>
      <c r="E41" s="14" t="inlineStr">
        <is>
          <t>Bag material</t>
        </is>
      </c>
      <c r="F41" s="14" t="inlineStr">
        <is>
          <t>12S (Thickness)- Transparent PVC Bag with 7S(Thickness) White PVC White Binding all around seam and 3# Nylon Coil White Zipper(No Hanger Loop on top)</t>
        </is>
      </c>
      <c r="G41" s="14" t="inlineStr"/>
      <c r="H41" s="14" t="inlineStr"/>
      <c r="I41" s="14" t="inlineStr">
        <is>
          <t>Mattress protector</t>
        </is>
      </c>
      <c r="J41" s="20" t="n">
        <v>1</v>
      </c>
      <c r="K41" s="20" t="inlineStr">
        <is>
          <t>pcs</t>
        </is>
      </c>
      <c r="L41" s="19" t="n">
        <v>2</v>
      </c>
      <c r="M41" s="17">
        <f>IFERROR(J41*(1+IFERROR(L41,0)/100)*VLOOKUP(B41,'1. Articles (SKUs)'!F:R,13,FALSE),"")</f>
        <v/>
      </c>
      <c r="N41" s="19" t="inlineStr"/>
    </row>
    <row r="42">
      <c r="A42" s="12" t="inlineStr">
        <is>
          <t>FT2</t>
        </is>
      </c>
      <c r="B42" s="12" t="inlineStr">
        <is>
          <t>GPFRIOMP78</t>
        </is>
      </c>
      <c r="C42" s="12" t="inlineStr">
        <is>
          <t>KING</t>
        </is>
      </c>
      <c r="D42" s="12" t="inlineStr">
        <is>
          <t>Insert Card</t>
        </is>
      </c>
      <c r="E42" s="12" t="inlineStr">
        <is>
          <t>Color paper insert material</t>
        </is>
      </c>
      <c r="F42" s="12" t="inlineStr">
        <is>
          <t>Printed Insert quality -  INSERT (“U” Shape) - Insert Material: 250g-300g White Card Paper with Coating both side</t>
        </is>
      </c>
      <c r="G42" s="12" t="inlineStr"/>
      <c r="H42" s="12" t="inlineStr"/>
      <c r="I42" s="12" t="inlineStr">
        <is>
          <t>Mattress protector</t>
        </is>
      </c>
      <c r="J42" s="20" t="n">
        <v>1</v>
      </c>
      <c r="K42" s="20" t="inlineStr">
        <is>
          <t>pcs</t>
        </is>
      </c>
      <c r="L42" s="19" t="n">
        <v>2</v>
      </c>
      <c r="M42" s="16">
        <f>IFERROR(J42*(1+IFERROR(L42,0)/100)*VLOOKUP(B42,'1. Articles (SKUs)'!F:R,13,FALSE),"")</f>
        <v/>
      </c>
      <c r="N42" s="19" t="inlineStr"/>
    </row>
    <row r="43">
      <c r="A43" s="14" t="inlineStr">
        <is>
          <t>FT2</t>
        </is>
      </c>
      <c r="B43" s="14" t="inlineStr">
        <is>
          <t>GPFRIOMP78</t>
        </is>
      </c>
      <c r="C43" s="14" t="inlineStr">
        <is>
          <t>KING</t>
        </is>
      </c>
      <c r="D43" s="14" t="inlineStr">
        <is>
          <t>Stiffener</t>
        </is>
      </c>
      <c r="E43" s="14" t="inlineStr">
        <is>
          <t>Cardboard material(Stiffener)</t>
        </is>
      </c>
      <c r="F43" s="14" t="inlineStr">
        <is>
          <t>Packaging inside need to put a “U”  1 ply thickness(1 layers with 1 layer corrugated ) in White Cardboard to maintain the shape before putting into the box</t>
        </is>
      </c>
      <c r="G43" s="14" t="inlineStr"/>
      <c r="H43" s="14" t="inlineStr"/>
      <c r="I43" s="14" t="inlineStr">
        <is>
          <t>Mattress protector</t>
        </is>
      </c>
      <c r="J43" s="20" t="n">
        <v>1</v>
      </c>
      <c r="K43" s="20" t="inlineStr">
        <is>
          <t>pcs</t>
        </is>
      </c>
      <c r="L43" s="19" t="n">
        <v>2</v>
      </c>
      <c r="M43" s="17">
        <f>IFERROR(J43*(1+IFERROR(L43,0)/100)*VLOOKUP(B43,'1. Articles (SKUs)'!F:R,13,FALSE),"")</f>
        <v/>
      </c>
      <c r="N43" s="19" t="inlineStr"/>
    </row>
    <row r="44">
      <c r="A44" s="12" t="inlineStr">
        <is>
          <t>FT2</t>
        </is>
      </c>
      <c r="B44" s="12" t="inlineStr">
        <is>
          <t>GPFRIOMP72</t>
        </is>
      </c>
      <c r="C44" s="12" t="inlineStr">
        <is>
          <t>CAL KING</t>
        </is>
      </c>
      <c r="D44" s="12" t="inlineStr">
        <is>
          <t>Thread</t>
        </is>
      </c>
      <c r="E44" s="12" t="inlineStr">
        <is>
          <t>Polyester sewing thread</t>
        </is>
      </c>
      <c r="F44" s="12" t="inlineStr">
        <is>
          <t>100% polyester spun</t>
        </is>
      </c>
      <c r="G44" s="12" t="inlineStr">
        <is>
          <t>TEX40 or 40/2</t>
        </is>
      </c>
      <c r="H44" s="12" t="inlineStr">
        <is>
          <t>All seams</t>
        </is>
      </c>
      <c r="I44" s="12" t="inlineStr">
        <is>
          <t>Mattress protector</t>
        </is>
      </c>
      <c r="J44" s="18" t="n"/>
      <c r="K44" s="19" t="inlineStr">
        <is>
          <t>meters</t>
        </is>
      </c>
      <c r="L44" s="19" t="n">
        <v>3</v>
      </c>
      <c r="M44" s="16">
        <f>IFERROR(J44*(1+IFERROR(L44,0)/100)*VLOOKUP(B44,'1. Articles (SKUs)'!F:R,13,FALSE),"")</f>
        <v/>
      </c>
      <c r="N44" s="19" t="inlineStr"/>
    </row>
    <row r="45">
      <c r="A45" s="14" t="inlineStr">
        <is>
          <t>FT2</t>
        </is>
      </c>
      <c r="B45" s="14" t="inlineStr">
        <is>
          <t>GPFRIOMP72</t>
        </is>
      </c>
      <c r="C45" s="14" t="inlineStr">
        <is>
          <t>CAL KING</t>
        </is>
      </c>
      <c r="D45" s="14" t="inlineStr">
        <is>
          <t>Elastic</t>
        </is>
      </c>
      <c r="E45" s="14" t="inlineStr">
        <is>
          <t>1/8" H Elastic band</t>
        </is>
      </c>
      <c r="F45" s="14" t="inlineStr">
        <is>
          <t>Rubber/polyester</t>
        </is>
      </c>
      <c r="G45" s="14" t="inlineStr">
        <is>
          <t>1/8"</t>
        </is>
      </c>
      <c r="H45" s="14" t="inlineStr">
        <is>
          <t>Around bottom edge</t>
        </is>
      </c>
      <c r="I45" s="14" t="inlineStr">
        <is>
          <t>Mattress protector</t>
        </is>
      </c>
      <c r="J45" s="18" t="n"/>
      <c r="K45" s="19" t="inlineStr">
        <is>
          <t>meters</t>
        </is>
      </c>
      <c r="L45" s="19" t="n">
        <v>3</v>
      </c>
      <c r="M45" s="17">
        <f>IFERROR(J45*(1+IFERROR(L45,0)/100)*VLOOKUP(B45,'1. Articles (SKUs)'!F:R,13,FALSE),"")</f>
        <v/>
      </c>
      <c r="N45" s="19" t="inlineStr"/>
    </row>
    <row r="46">
      <c r="A46" s="12" t="inlineStr">
        <is>
          <t>FT2</t>
        </is>
      </c>
      <c r="B46" s="12" t="inlineStr">
        <is>
          <t>GPFRIOMP72</t>
        </is>
      </c>
      <c r="C46" s="12" t="inlineStr">
        <is>
          <t>CAL KING</t>
        </is>
      </c>
      <c r="D46" s="12" t="inlineStr">
        <is>
          <t>Law Tag</t>
        </is>
      </c>
      <c r="E46" s="12" t="inlineStr">
        <is>
          <t>Non woven label with coating</t>
        </is>
      </c>
      <c r="F46" s="12" t="inlineStr">
        <is>
          <t>3M non woven material with white ground / black color font  (INK CANNOT DISCOLORATION AND STAIN ON PRODUCT)</t>
        </is>
      </c>
      <c r="G46" s="12" t="inlineStr">
        <is>
          <t>9.0cmX13.0cm</t>
        </is>
      </c>
      <c r="H46" s="12" t="inlineStr">
        <is>
          <t>Position of law tag label – Sewing at the middle of short si</t>
        </is>
      </c>
      <c r="I46" s="12" t="inlineStr">
        <is>
          <t>Law tag/Care label for mattress protector</t>
        </is>
      </c>
      <c r="J46" s="20" t="n">
        <v>1</v>
      </c>
      <c r="K46" s="20" t="inlineStr">
        <is>
          <t>pcs</t>
        </is>
      </c>
      <c r="L46" s="19" t="n">
        <v>2</v>
      </c>
      <c r="M46" s="16">
        <f>IFERROR(J46*(1+IFERROR(L46,0)/100)*VLOOKUP(B46,'1. Articles (SKUs)'!F:R,13,FALSE),"")</f>
        <v/>
      </c>
      <c r="N46" s="19" t="inlineStr"/>
    </row>
    <row r="47">
      <c r="A47" s="14" t="inlineStr">
        <is>
          <t>FT2</t>
        </is>
      </c>
      <c r="B47" s="14" t="inlineStr">
        <is>
          <t>GPFRIOMP72</t>
        </is>
      </c>
      <c r="C47" s="14" t="inlineStr">
        <is>
          <t>CAL KING</t>
        </is>
      </c>
      <c r="D47" s="14" t="inlineStr">
        <is>
          <t>Packaging</t>
        </is>
      </c>
      <c r="E47" s="14" t="inlineStr">
        <is>
          <t>Packaging type</t>
        </is>
      </c>
      <c r="F47" s="14" t="inlineStr">
        <is>
          <t>Color paper insert with vinyl PVC Bag with white bound seam &amp; inside cardboard wrapped by product(Stiffener)</t>
        </is>
      </c>
      <c r="G47" s="14" t="inlineStr"/>
      <c r="H47" s="14" t="inlineStr"/>
      <c r="I47" s="14" t="inlineStr">
        <is>
          <t>Main</t>
        </is>
      </c>
      <c r="J47" s="20" t="n">
        <v>1</v>
      </c>
      <c r="K47" s="20" t="inlineStr">
        <is>
          <t>pcs</t>
        </is>
      </c>
      <c r="L47" s="19" t="n">
        <v>2</v>
      </c>
      <c r="M47" s="17">
        <f>IFERROR(J47*(1+IFERROR(L47,0)/100)*VLOOKUP(B47,'1. Articles (SKUs)'!F:R,13,FALSE),"")</f>
        <v/>
      </c>
      <c r="N47" s="19" t="inlineStr"/>
    </row>
    <row r="48">
      <c r="A48" s="12" t="inlineStr">
        <is>
          <t>FT2</t>
        </is>
      </c>
      <c r="B48" s="12" t="inlineStr">
        <is>
          <t>GPFRIOMP72</t>
        </is>
      </c>
      <c r="C48" s="12" t="inlineStr">
        <is>
          <t>CAL KING</t>
        </is>
      </c>
      <c r="D48" s="12" t="inlineStr">
        <is>
          <t>PVC Bag</t>
        </is>
      </c>
      <c r="E48" s="12" t="inlineStr">
        <is>
          <t>Bag material</t>
        </is>
      </c>
      <c r="F48" s="12" t="inlineStr">
        <is>
          <t>12S (Thickness)- Transparent PVC Bag with 7S(Thickness) White PVC White Binding all around seam and 3# Nylon Coil White Zipper(No Hanger Loop on top)</t>
        </is>
      </c>
      <c r="G48" s="12" t="inlineStr"/>
      <c r="H48" s="12" t="inlineStr"/>
      <c r="I48" s="12" t="inlineStr">
        <is>
          <t>Mattress protector</t>
        </is>
      </c>
      <c r="J48" s="20" t="n">
        <v>1</v>
      </c>
      <c r="K48" s="20" t="inlineStr">
        <is>
          <t>pcs</t>
        </is>
      </c>
      <c r="L48" s="19" t="n">
        <v>2</v>
      </c>
      <c r="M48" s="16">
        <f>IFERROR(J48*(1+IFERROR(L48,0)/100)*VLOOKUP(B48,'1. Articles (SKUs)'!F:R,13,FALSE),"")</f>
        <v/>
      </c>
      <c r="N48" s="19" t="inlineStr"/>
    </row>
    <row r="49">
      <c r="A49" s="14" t="inlineStr">
        <is>
          <t>FT2</t>
        </is>
      </c>
      <c r="B49" s="14" t="inlineStr">
        <is>
          <t>GPFRIOMP72</t>
        </is>
      </c>
      <c r="C49" s="14" t="inlineStr">
        <is>
          <t>CAL KING</t>
        </is>
      </c>
      <c r="D49" s="14" t="inlineStr">
        <is>
          <t>Insert Card</t>
        </is>
      </c>
      <c r="E49" s="14" t="inlineStr">
        <is>
          <t>Color paper insert material</t>
        </is>
      </c>
      <c r="F49" s="14" t="inlineStr">
        <is>
          <t>Printed Insert quality -  INSERT (“U” Shape) - Insert Material: 250g-300g White Card Paper with Coating both side</t>
        </is>
      </c>
      <c r="G49" s="14" t="inlineStr"/>
      <c r="H49" s="14" t="inlineStr"/>
      <c r="I49" s="14" t="inlineStr">
        <is>
          <t>Mattress protector</t>
        </is>
      </c>
      <c r="J49" s="20" t="n">
        <v>1</v>
      </c>
      <c r="K49" s="20" t="inlineStr">
        <is>
          <t>pcs</t>
        </is>
      </c>
      <c r="L49" s="19" t="n">
        <v>2</v>
      </c>
      <c r="M49" s="17">
        <f>IFERROR(J49*(1+IFERROR(L49,0)/100)*VLOOKUP(B49,'1. Articles (SKUs)'!F:R,13,FALSE),"")</f>
        <v/>
      </c>
      <c r="N49" s="19" t="inlineStr"/>
    </row>
    <row r="50">
      <c r="A50" s="12" t="inlineStr">
        <is>
          <t>FT2</t>
        </is>
      </c>
      <c r="B50" s="12" t="inlineStr">
        <is>
          <t>GPFRIOMP72</t>
        </is>
      </c>
      <c r="C50" s="12" t="inlineStr">
        <is>
          <t>CAL KING</t>
        </is>
      </c>
      <c r="D50" s="12" t="inlineStr">
        <is>
          <t>Stiffener</t>
        </is>
      </c>
      <c r="E50" s="12" t="inlineStr">
        <is>
          <t>Cardboard material(Stiffener)</t>
        </is>
      </c>
      <c r="F50" s="12" t="inlineStr">
        <is>
          <t>Packaging inside need to put a “U”  1 ply thickness(1 layers with 1 layer corrugated ) in White Cardboard to maintain the shape before putting into the box</t>
        </is>
      </c>
      <c r="G50" s="12" t="inlineStr"/>
      <c r="H50" s="12" t="inlineStr"/>
      <c r="I50" s="12" t="inlineStr">
        <is>
          <t>Mattress protector</t>
        </is>
      </c>
      <c r="J50" s="20" t="n">
        <v>1</v>
      </c>
      <c r="K50" s="20" t="inlineStr">
        <is>
          <t>pcs</t>
        </is>
      </c>
      <c r="L50" s="19" t="n">
        <v>2</v>
      </c>
      <c r="M50" s="16">
        <f>IFERROR(J50*(1+IFERROR(L50,0)/100)*VLOOKUP(B50,'1. Articles (SKUs)'!F:R,13,FALSE),"")</f>
        <v/>
      </c>
      <c r="N50" s="19" t="inlineStr"/>
    </row>
    <row r="51">
      <c r="A51" s="14" t="inlineStr">
        <is>
          <t>FT2</t>
        </is>
      </c>
      <c r="B51" s="14" t="inlineStr">
        <is>
          <t>GPFRIOMP36</t>
        </is>
      </c>
      <c r="C51" s="14" t="inlineStr">
        <is>
          <t>SPLIT  CAL KING</t>
        </is>
      </c>
      <c r="D51" s="14" t="inlineStr">
        <is>
          <t>Thread</t>
        </is>
      </c>
      <c r="E51" s="14" t="inlineStr">
        <is>
          <t>Polyester sewing thread</t>
        </is>
      </c>
      <c r="F51" s="14" t="inlineStr">
        <is>
          <t>100% polyester spun</t>
        </is>
      </c>
      <c r="G51" s="14" t="inlineStr">
        <is>
          <t>TEX40 or 40/2</t>
        </is>
      </c>
      <c r="H51" s="14" t="inlineStr">
        <is>
          <t>All seams</t>
        </is>
      </c>
      <c r="I51" s="14" t="inlineStr">
        <is>
          <t>Mattress protector</t>
        </is>
      </c>
      <c r="J51" s="18" t="n"/>
      <c r="K51" s="19" t="inlineStr">
        <is>
          <t>meters</t>
        </is>
      </c>
      <c r="L51" s="19" t="n">
        <v>3</v>
      </c>
      <c r="M51" s="17">
        <f>IFERROR(J51*(1+IFERROR(L51,0)/100)*VLOOKUP(B51,'1. Articles (SKUs)'!F:R,13,FALSE),"")</f>
        <v/>
      </c>
      <c r="N51" s="19" t="inlineStr"/>
    </row>
    <row r="52">
      <c r="A52" s="12" t="inlineStr">
        <is>
          <t>FT2</t>
        </is>
      </c>
      <c r="B52" s="12" t="inlineStr">
        <is>
          <t>GPFRIOMP36</t>
        </is>
      </c>
      <c r="C52" s="12" t="inlineStr">
        <is>
          <t>SPLIT  CAL KING</t>
        </is>
      </c>
      <c r="D52" s="12" t="inlineStr">
        <is>
          <t>Elastic</t>
        </is>
      </c>
      <c r="E52" s="12" t="inlineStr">
        <is>
          <t>1/8" H Elastic band</t>
        </is>
      </c>
      <c r="F52" s="12" t="inlineStr">
        <is>
          <t>Rubber/polyester</t>
        </is>
      </c>
      <c r="G52" s="12" t="inlineStr">
        <is>
          <t>1/8"</t>
        </is>
      </c>
      <c r="H52" s="12" t="inlineStr">
        <is>
          <t>Around bottom edge</t>
        </is>
      </c>
      <c r="I52" s="12" t="inlineStr">
        <is>
          <t>Mattress protector</t>
        </is>
      </c>
      <c r="J52" s="18" t="n"/>
      <c r="K52" s="19" t="inlineStr">
        <is>
          <t>meters</t>
        </is>
      </c>
      <c r="L52" s="19" t="n">
        <v>3</v>
      </c>
      <c r="M52" s="16">
        <f>IFERROR(J52*(1+IFERROR(L52,0)/100)*VLOOKUP(B52,'1. Articles (SKUs)'!F:R,13,FALSE),"")</f>
        <v/>
      </c>
      <c r="N52" s="19" t="inlineStr"/>
    </row>
    <row r="53">
      <c r="A53" s="14" t="inlineStr">
        <is>
          <t>FT2</t>
        </is>
      </c>
      <c r="B53" s="14" t="inlineStr">
        <is>
          <t>GPFRIOMP36</t>
        </is>
      </c>
      <c r="C53" s="14" t="inlineStr">
        <is>
          <t>SPLIT  CAL KING</t>
        </is>
      </c>
      <c r="D53" s="14" t="inlineStr">
        <is>
          <t>Law Tag</t>
        </is>
      </c>
      <c r="E53" s="14" t="inlineStr">
        <is>
          <t>Non woven label with coating</t>
        </is>
      </c>
      <c r="F53" s="14" t="inlineStr">
        <is>
          <t>3M non woven material with white ground / black color font  (INK CANNOT DISCOLORATION AND STAIN ON PRODUCT)</t>
        </is>
      </c>
      <c r="G53" s="14" t="inlineStr">
        <is>
          <t>9.0cmX13.0cm</t>
        </is>
      </c>
      <c r="H53" s="14" t="inlineStr">
        <is>
          <t>Position of law tag label – Sewing at the middle of short si</t>
        </is>
      </c>
      <c r="I53" s="14" t="inlineStr">
        <is>
          <t>Law tag/Care label for mattress protector</t>
        </is>
      </c>
      <c r="J53" s="20" t="n">
        <v>1</v>
      </c>
      <c r="K53" s="20" t="inlineStr">
        <is>
          <t>pcs</t>
        </is>
      </c>
      <c r="L53" s="19" t="n">
        <v>2</v>
      </c>
      <c r="M53" s="17">
        <f>IFERROR(J53*(1+IFERROR(L53,0)/100)*VLOOKUP(B53,'1. Articles (SKUs)'!F:R,13,FALSE),"")</f>
        <v/>
      </c>
      <c r="N53" s="19" t="inlineStr"/>
    </row>
    <row r="54">
      <c r="A54" s="12" t="inlineStr">
        <is>
          <t>FT2</t>
        </is>
      </c>
      <c r="B54" s="12" t="inlineStr">
        <is>
          <t>GPFRIOMP36</t>
        </is>
      </c>
      <c r="C54" s="12" t="inlineStr">
        <is>
          <t>SPLIT  CAL KING</t>
        </is>
      </c>
      <c r="D54" s="12" t="inlineStr">
        <is>
          <t>Packaging</t>
        </is>
      </c>
      <c r="E54" s="12" t="inlineStr">
        <is>
          <t>Packaging type</t>
        </is>
      </c>
      <c r="F54" s="12" t="inlineStr">
        <is>
          <t>Color paper insert with vinyl PVC Bag with white bound seam &amp; inside cardboard wrapped by product(Stiffener)</t>
        </is>
      </c>
      <c r="G54" s="12" t="inlineStr"/>
      <c r="H54" s="12" t="inlineStr"/>
      <c r="I54" s="12" t="inlineStr">
        <is>
          <t>Main</t>
        </is>
      </c>
      <c r="J54" s="20" t="n">
        <v>1</v>
      </c>
      <c r="K54" s="20" t="inlineStr">
        <is>
          <t>pcs</t>
        </is>
      </c>
      <c r="L54" s="19" t="n">
        <v>2</v>
      </c>
      <c r="M54" s="16">
        <f>IFERROR(J54*(1+IFERROR(L54,0)/100)*VLOOKUP(B54,'1. Articles (SKUs)'!F:R,13,FALSE),"")</f>
        <v/>
      </c>
      <c r="N54" s="19" t="inlineStr"/>
    </row>
    <row r="55">
      <c r="A55" s="14" t="inlineStr">
        <is>
          <t>FT2</t>
        </is>
      </c>
      <c r="B55" s="14" t="inlineStr">
        <is>
          <t>GPFRIOMP36</t>
        </is>
      </c>
      <c r="C55" s="14" t="inlineStr">
        <is>
          <t>SPLIT  CAL KING</t>
        </is>
      </c>
      <c r="D55" s="14" t="inlineStr">
        <is>
          <t>PVC Bag</t>
        </is>
      </c>
      <c r="E55" s="14" t="inlineStr">
        <is>
          <t>Bag material</t>
        </is>
      </c>
      <c r="F55" s="14" t="inlineStr">
        <is>
          <t>12S (Thickness)- Transparent PVC Bag with 7S(Thickness) White PVC White Binding all around seam and 3# Nylon Coil White Zipper(No Hanger Loop on top)</t>
        </is>
      </c>
      <c r="G55" s="14" t="inlineStr"/>
      <c r="H55" s="14" t="inlineStr"/>
      <c r="I55" s="14" t="inlineStr">
        <is>
          <t>Mattress protector</t>
        </is>
      </c>
      <c r="J55" s="20" t="n">
        <v>1</v>
      </c>
      <c r="K55" s="20" t="inlineStr">
        <is>
          <t>pcs</t>
        </is>
      </c>
      <c r="L55" s="19" t="n">
        <v>2</v>
      </c>
      <c r="M55" s="17">
        <f>IFERROR(J55*(1+IFERROR(L55,0)/100)*VLOOKUP(B55,'1. Articles (SKUs)'!F:R,13,FALSE),"")</f>
        <v/>
      </c>
      <c r="N55" s="19" t="inlineStr"/>
    </row>
    <row r="56">
      <c r="A56" s="12" t="inlineStr">
        <is>
          <t>FT2</t>
        </is>
      </c>
      <c r="B56" s="12" t="inlineStr">
        <is>
          <t>GPFRIOMP36</t>
        </is>
      </c>
      <c r="C56" s="12" t="inlineStr">
        <is>
          <t>SPLIT  CAL KING</t>
        </is>
      </c>
      <c r="D56" s="12" t="inlineStr">
        <is>
          <t>Insert Card</t>
        </is>
      </c>
      <c r="E56" s="12" t="inlineStr">
        <is>
          <t>Color paper insert material</t>
        </is>
      </c>
      <c r="F56" s="12" t="inlineStr">
        <is>
          <t>Printed Insert quality -  INSERT (“U” Shape) - Insert Material: 250g-300g White Card Paper with Coating both side</t>
        </is>
      </c>
      <c r="G56" s="12" t="inlineStr"/>
      <c r="H56" s="12" t="inlineStr"/>
      <c r="I56" s="12" t="inlineStr">
        <is>
          <t>Mattress protector</t>
        </is>
      </c>
      <c r="J56" s="20" t="n">
        <v>1</v>
      </c>
      <c r="K56" s="20" t="inlineStr">
        <is>
          <t>pcs</t>
        </is>
      </c>
      <c r="L56" s="19" t="n">
        <v>2</v>
      </c>
      <c r="M56" s="16">
        <f>IFERROR(J56*(1+IFERROR(L56,0)/100)*VLOOKUP(B56,'1. Articles (SKUs)'!F:R,13,FALSE),"")</f>
        <v/>
      </c>
      <c r="N56" s="19" t="inlineStr"/>
    </row>
    <row r="57">
      <c r="A57" s="14" t="inlineStr">
        <is>
          <t>FT2</t>
        </is>
      </c>
      <c r="B57" s="14" t="inlineStr">
        <is>
          <t>GPFRIOMP36</t>
        </is>
      </c>
      <c r="C57" s="14" t="inlineStr">
        <is>
          <t>SPLIT  CAL KING</t>
        </is>
      </c>
      <c r="D57" s="14" t="inlineStr">
        <is>
          <t>Stiffener</t>
        </is>
      </c>
      <c r="E57" s="14" t="inlineStr">
        <is>
          <t>Cardboard material(Stiffener)</t>
        </is>
      </c>
      <c r="F57" s="14" t="inlineStr">
        <is>
          <t>Packaging inside need to put a “U”  1 ply thickness(1 layers with 1 layer corrugated ) in White Cardboard to maintain the shape before putting into the box</t>
        </is>
      </c>
      <c r="G57" s="14" t="inlineStr"/>
      <c r="H57" s="14" t="inlineStr"/>
      <c r="I57" s="14" t="inlineStr">
        <is>
          <t>Mattress protector</t>
        </is>
      </c>
      <c r="J57" s="20" t="n">
        <v>1</v>
      </c>
      <c r="K57" s="20" t="inlineStr">
        <is>
          <t>pcs</t>
        </is>
      </c>
      <c r="L57" s="19" t="n">
        <v>2</v>
      </c>
      <c r="M57" s="17">
        <f>IFERROR(J57*(1+IFERROR(L57,0)/100)*VLOOKUP(B57,'1. Articles (SKUs)'!F:R,13,FALSE),"")</f>
        <v/>
      </c>
      <c r="N57" s="19" t="inlineStr"/>
    </row>
    <row r="58">
      <c r="A58" s="12" t="inlineStr">
        <is>
          <t>FT2</t>
        </is>
      </c>
      <c r="B58" s="12" t="inlineStr">
        <is>
          <t>GPFRIOMP52</t>
        </is>
      </c>
      <c r="C58" s="12" t="inlineStr">
        <is>
          <t>SPLIT HEAD QUEEN</t>
        </is>
      </c>
      <c r="D58" s="12" t="inlineStr">
        <is>
          <t>Thread</t>
        </is>
      </c>
      <c r="E58" s="12" t="inlineStr">
        <is>
          <t>Polyester sewing thread</t>
        </is>
      </c>
      <c r="F58" s="12" t="inlineStr">
        <is>
          <t>100% polyester spun</t>
        </is>
      </c>
      <c r="G58" s="12" t="inlineStr">
        <is>
          <t>TEX40 or 40/2</t>
        </is>
      </c>
      <c r="H58" s="12" t="inlineStr">
        <is>
          <t>All seams</t>
        </is>
      </c>
      <c r="I58" s="12" t="inlineStr">
        <is>
          <t>Mattress protector</t>
        </is>
      </c>
      <c r="J58" s="18" t="n"/>
      <c r="K58" s="19" t="inlineStr">
        <is>
          <t>meters</t>
        </is>
      </c>
      <c r="L58" s="19" t="n">
        <v>3</v>
      </c>
      <c r="M58" s="16">
        <f>IFERROR(J58*(1+IFERROR(L58,0)/100)*VLOOKUP(B58,'1. Articles (SKUs)'!F:R,13,FALSE),"")</f>
        <v/>
      </c>
      <c r="N58" s="19" t="inlineStr"/>
    </row>
    <row r="59">
      <c r="A59" s="14" t="inlineStr">
        <is>
          <t>FT2</t>
        </is>
      </c>
      <c r="B59" s="14" t="inlineStr">
        <is>
          <t>GPFRIOMP52</t>
        </is>
      </c>
      <c r="C59" s="14" t="inlineStr">
        <is>
          <t>SPLIT HEAD QUEEN</t>
        </is>
      </c>
      <c r="D59" s="14" t="inlineStr">
        <is>
          <t>Elastic</t>
        </is>
      </c>
      <c r="E59" s="14" t="inlineStr">
        <is>
          <t>1/8" H Elastic band</t>
        </is>
      </c>
      <c r="F59" s="14" t="inlineStr">
        <is>
          <t>Rubber/polyester</t>
        </is>
      </c>
      <c r="G59" s="14" t="inlineStr">
        <is>
          <t>1/8"</t>
        </is>
      </c>
      <c r="H59" s="14" t="inlineStr">
        <is>
          <t>Around bottom edge</t>
        </is>
      </c>
      <c r="I59" s="14" t="inlineStr">
        <is>
          <t>Mattress protector</t>
        </is>
      </c>
      <c r="J59" s="18" t="n"/>
      <c r="K59" s="19" t="inlineStr">
        <is>
          <t>meters</t>
        </is>
      </c>
      <c r="L59" s="19" t="n">
        <v>3</v>
      </c>
      <c r="M59" s="17">
        <f>IFERROR(J59*(1+IFERROR(L59,0)/100)*VLOOKUP(B59,'1. Articles (SKUs)'!F:R,13,FALSE),"")</f>
        <v/>
      </c>
      <c r="N59" s="19" t="inlineStr"/>
    </row>
    <row r="60">
      <c r="A60" s="12" t="inlineStr">
        <is>
          <t>FT2</t>
        </is>
      </c>
      <c r="B60" s="12" t="inlineStr">
        <is>
          <t>GPFRIOMP52</t>
        </is>
      </c>
      <c r="C60" s="12" t="inlineStr">
        <is>
          <t>SPLIT HEAD QUEEN</t>
        </is>
      </c>
      <c r="D60" s="12" t="inlineStr">
        <is>
          <t>Law Tag</t>
        </is>
      </c>
      <c r="E60" s="12" t="inlineStr">
        <is>
          <t>Non woven label with coating</t>
        </is>
      </c>
      <c r="F60" s="12" t="inlineStr">
        <is>
          <t>3M non woven material with white ground / black color font  (INK CANNOT DISCOLORATION AND STAIN ON PRODUCT)</t>
        </is>
      </c>
      <c r="G60" s="12" t="inlineStr">
        <is>
          <t>9.0cmX13.0cm</t>
        </is>
      </c>
      <c r="H60" s="12" t="inlineStr">
        <is>
          <t>Position of law tag label – Sewing at the middle of short si</t>
        </is>
      </c>
      <c r="I60" s="12" t="inlineStr">
        <is>
          <t>Law tag/Care label for mattress protector</t>
        </is>
      </c>
      <c r="J60" s="20" t="n">
        <v>1</v>
      </c>
      <c r="K60" s="20" t="inlineStr">
        <is>
          <t>pcs</t>
        </is>
      </c>
      <c r="L60" s="19" t="n">
        <v>2</v>
      </c>
      <c r="M60" s="16">
        <f>IFERROR(J60*(1+IFERROR(L60,0)/100)*VLOOKUP(B60,'1. Articles (SKUs)'!F:R,13,FALSE),"")</f>
        <v/>
      </c>
      <c r="N60" s="19" t="inlineStr"/>
    </row>
    <row r="61">
      <c r="A61" s="14" t="inlineStr">
        <is>
          <t>FT2</t>
        </is>
      </c>
      <c r="B61" s="14" t="inlineStr">
        <is>
          <t>GPFRIOMP52</t>
        </is>
      </c>
      <c r="C61" s="14" t="inlineStr">
        <is>
          <t>SPLIT HEAD QUEEN</t>
        </is>
      </c>
      <c r="D61" s="14" t="inlineStr">
        <is>
          <t>Packaging</t>
        </is>
      </c>
      <c r="E61" s="14" t="inlineStr">
        <is>
          <t>Packaging type</t>
        </is>
      </c>
      <c r="F61" s="14" t="inlineStr">
        <is>
          <t>Color paper insert with vinyl PVC Bag with white bound seam &amp; inside cardboard wrapped by product(Stiffener)</t>
        </is>
      </c>
      <c r="G61" s="14" t="inlineStr"/>
      <c r="H61" s="14" t="inlineStr"/>
      <c r="I61" s="14" t="inlineStr">
        <is>
          <t>Main</t>
        </is>
      </c>
      <c r="J61" s="20" t="n">
        <v>1</v>
      </c>
      <c r="K61" s="20" t="inlineStr">
        <is>
          <t>pcs</t>
        </is>
      </c>
      <c r="L61" s="19" t="n">
        <v>2</v>
      </c>
      <c r="M61" s="17">
        <f>IFERROR(J61*(1+IFERROR(L61,0)/100)*VLOOKUP(B61,'1. Articles (SKUs)'!F:R,13,FALSE),"")</f>
        <v/>
      </c>
      <c r="N61" s="19" t="inlineStr"/>
    </row>
    <row r="62">
      <c r="A62" s="12" t="inlineStr">
        <is>
          <t>FT2</t>
        </is>
      </c>
      <c r="B62" s="12" t="inlineStr">
        <is>
          <t>GPFRIOMP52</t>
        </is>
      </c>
      <c r="C62" s="12" t="inlineStr">
        <is>
          <t>SPLIT HEAD QUEEN</t>
        </is>
      </c>
      <c r="D62" s="12" t="inlineStr">
        <is>
          <t>PVC Bag</t>
        </is>
      </c>
      <c r="E62" s="12" t="inlineStr">
        <is>
          <t>Bag material</t>
        </is>
      </c>
      <c r="F62" s="12" t="inlineStr">
        <is>
          <t>12S (Thickness)- Transparent PVC Bag with 7S(Thickness) White PVC White Binding all around seam and 3# Nylon Coil White Zipper(No Hanger Loop on top)</t>
        </is>
      </c>
      <c r="G62" s="12" t="inlineStr"/>
      <c r="H62" s="12" t="inlineStr"/>
      <c r="I62" s="12" t="inlineStr">
        <is>
          <t>Mattress protector</t>
        </is>
      </c>
      <c r="J62" s="20" t="n">
        <v>1</v>
      </c>
      <c r="K62" s="20" t="inlineStr">
        <is>
          <t>pcs</t>
        </is>
      </c>
      <c r="L62" s="19" t="n">
        <v>2</v>
      </c>
      <c r="M62" s="16">
        <f>IFERROR(J62*(1+IFERROR(L62,0)/100)*VLOOKUP(B62,'1. Articles (SKUs)'!F:R,13,FALSE),"")</f>
        <v/>
      </c>
      <c r="N62" s="19" t="inlineStr"/>
    </row>
    <row r="63">
      <c r="A63" s="14" t="inlineStr">
        <is>
          <t>FT2</t>
        </is>
      </c>
      <c r="B63" s="14" t="inlineStr">
        <is>
          <t>GPFRIOMP52</t>
        </is>
      </c>
      <c r="C63" s="14" t="inlineStr">
        <is>
          <t>SPLIT HEAD QUEEN</t>
        </is>
      </c>
      <c r="D63" s="14" t="inlineStr">
        <is>
          <t>Insert Card</t>
        </is>
      </c>
      <c r="E63" s="14" t="inlineStr">
        <is>
          <t>Color paper insert material</t>
        </is>
      </c>
      <c r="F63" s="14" t="inlineStr">
        <is>
          <t>Printed Insert quality -  INSERT (“U” Shape) - Insert Material: 250g-300g White Card Paper with Coating both side</t>
        </is>
      </c>
      <c r="G63" s="14" t="inlineStr"/>
      <c r="H63" s="14" t="inlineStr"/>
      <c r="I63" s="14" t="inlineStr">
        <is>
          <t>Mattress protector</t>
        </is>
      </c>
      <c r="J63" s="20" t="n">
        <v>1</v>
      </c>
      <c r="K63" s="20" t="inlineStr">
        <is>
          <t>pcs</t>
        </is>
      </c>
      <c r="L63" s="19" t="n">
        <v>2</v>
      </c>
      <c r="M63" s="17">
        <f>IFERROR(J63*(1+IFERROR(L63,0)/100)*VLOOKUP(B63,'1. Articles (SKUs)'!F:R,13,FALSE),"")</f>
        <v/>
      </c>
      <c r="N63" s="19" t="inlineStr"/>
    </row>
    <row r="64">
      <c r="A64" s="12" t="inlineStr">
        <is>
          <t>FT2</t>
        </is>
      </c>
      <c r="B64" s="12" t="inlineStr">
        <is>
          <t>GPFRIOMP52</t>
        </is>
      </c>
      <c r="C64" s="12" t="inlineStr">
        <is>
          <t>SPLIT HEAD QUEEN</t>
        </is>
      </c>
      <c r="D64" s="12" t="inlineStr">
        <is>
          <t>Stiffener</t>
        </is>
      </c>
      <c r="E64" s="12" t="inlineStr">
        <is>
          <t>Cardboard material(Stiffener)</t>
        </is>
      </c>
      <c r="F64" s="12" t="inlineStr">
        <is>
          <t>Packaging inside need to put a “U”  1 ply thickness(1 layers with 1 layer corrugated ) in White Cardboard to maintain the shape before putting into the box</t>
        </is>
      </c>
      <c r="G64" s="12" t="inlineStr"/>
      <c r="H64" s="12" t="inlineStr"/>
      <c r="I64" s="12" t="inlineStr">
        <is>
          <t>Mattress protector</t>
        </is>
      </c>
      <c r="J64" s="20" t="n">
        <v>1</v>
      </c>
      <c r="K64" s="20" t="inlineStr">
        <is>
          <t>pcs</t>
        </is>
      </c>
      <c r="L64" s="19" t="n">
        <v>2</v>
      </c>
      <c r="M64" s="16">
        <f>IFERROR(J64*(1+IFERROR(L64,0)/100)*VLOOKUP(B64,'1. Articles (SKUs)'!F:R,13,FALSE),"")</f>
        <v/>
      </c>
      <c r="N64" s="19" t="inlineStr"/>
    </row>
    <row r="65">
      <c r="A65" s="14" t="inlineStr">
        <is>
          <t>FT2</t>
        </is>
      </c>
      <c r="B65" s="14" t="inlineStr">
        <is>
          <t>GPFRIOMP79</t>
        </is>
      </c>
      <c r="C65" s="14" t="inlineStr">
        <is>
          <t>SPLIT HEAD KING</t>
        </is>
      </c>
      <c r="D65" s="14" t="inlineStr">
        <is>
          <t>Thread</t>
        </is>
      </c>
      <c r="E65" s="14" t="inlineStr">
        <is>
          <t>Polyester sewing thread</t>
        </is>
      </c>
      <c r="F65" s="14" t="inlineStr">
        <is>
          <t>100% polyester spun</t>
        </is>
      </c>
      <c r="G65" s="14" t="inlineStr">
        <is>
          <t>TEX40 or 40/2</t>
        </is>
      </c>
      <c r="H65" s="14" t="inlineStr">
        <is>
          <t>All seams</t>
        </is>
      </c>
      <c r="I65" s="14" t="inlineStr">
        <is>
          <t>Mattress protector</t>
        </is>
      </c>
      <c r="J65" s="18" t="n"/>
      <c r="K65" s="19" t="inlineStr">
        <is>
          <t>meters</t>
        </is>
      </c>
      <c r="L65" s="19" t="n">
        <v>3</v>
      </c>
      <c r="M65" s="17">
        <f>IFERROR(J65*(1+IFERROR(L65,0)/100)*VLOOKUP(B65,'1. Articles (SKUs)'!F:R,13,FALSE),"")</f>
        <v/>
      </c>
      <c r="N65" s="19" t="inlineStr"/>
    </row>
    <row r="66">
      <c r="A66" s="12" t="inlineStr">
        <is>
          <t>FT2</t>
        </is>
      </c>
      <c r="B66" s="12" t="inlineStr">
        <is>
          <t>GPFRIOMP79</t>
        </is>
      </c>
      <c r="C66" s="12" t="inlineStr">
        <is>
          <t>SPLIT HEAD KING</t>
        </is>
      </c>
      <c r="D66" s="12" t="inlineStr">
        <is>
          <t>Elastic</t>
        </is>
      </c>
      <c r="E66" s="12" t="inlineStr">
        <is>
          <t>1/8" H Elastic band</t>
        </is>
      </c>
      <c r="F66" s="12" t="inlineStr">
        <is>
          <t>Rubber/polyester</t>
        </is>
      </c>
      <c r="G66" s="12" t="inlineStr">
        <is>
          <t>1/8"</t>
        </is>
      </c>
      <c r="H66" s="12" t="inlineStr">
        <is>
          <t>Around bottom edge</t>
        </is>
      </c>
      <c r="I66" s="12" t="inlineStr">
        <is>
          <t>Mattress protector</t>
        </is>
      </c>
      <c r="J66" s="18" t="n"/>
      <c r="K66" s="19" t="inlineStr">
        <is>
          <t>meters</t>
        </is>
      </c>
      <c r="L66" s="19" t="n">
        <v>3</v>
      </c>
      <c r="M66" s="16">
        <f>IFERROR(J66*(1+IFERROR(L66,0)/100)*VLOOKUP(B66,'1. Articles (SKUs)'!F:R,13,FALSE),"")</f>
        <v/>
      </c>
      <c r="N66" s="19" t="inlineStr"/>
    </row>
    <row r="67">
      <c r="A67" s="14" t="inlineStr">
        <is>
          <t>FT2</t>
        </is>
      </c>
      <c r="B67" s="14" t="inlineStr">
        <is>
          <t>GPFRIOMP79</t>
        </is>
      </c>
      <c r="C67" s="14" t="inlineStr">
        <is>
          <t>SPLIT HEAD KING</t>
        </is>
      </c>
      <c r="D67" s="14" t="inlineStr">
        <is>
          <t>Law Tag</t>
        </is>
      </c>
      <c r="E67" s="14" t="inlineStr">
        <is>
          <t>Non woven label with coating</t>
        </is>
      </c>
      <c r="F67" s="14" t="inlineStr">
        <is>
          <t>3M non woven material with white ground / black color font  (INK CANNOT DISCOLORATION AND STAIN ON PRODUCT)</t>
        </is>
      </c>
      <c r="G67" s="14" t="inlineStr">
        <is>
          <t>9.0cmX13.0cm</t>
        </is>
      </c>
      <c r="H67" s="14" t="inlineStr">
        <is>
          <t>Position of law tag label – Sewing at the middle of short si</t>
        </is>
      </c>
      <c r="I67" s="14" t="inlineStr">
        <is>
          <t>Law tag/Care label for mattress protector</t>
        </is>
      </c>
      <c r="J67" s="20" t="n">
        <v>1</v>
      </c>
      <c r="K67" s="20" t="inlineStr">
        <is>
          <t>pcs</t>
        </is>
      </c>
      <c r="L67" s="19" t="n">
        <v>2</v>
      </c>
      <c r="M67" s="17">
        <f>IFERROR(J67*(1+IFERROR(L67,0)/100)*VLOOKUP(B67,'1. Articles (SKUs)'!F:R,13,FALSE),"")</f>
        <v/>
      </c>
      <c r="N67" s="19" t="inlineStr"/>
    </row>
    <row r="68">
      <c r="A68" s="12" t="inlineStr">
        <is>
          <t>FT2</t>
        </is>
      </c>
      <c r="B68" s="12" t="inlineStr">
        <is>
          <t>GPFRIOMP79</t>
        </is>
      </c>
      <c r="C68" s="12" t="inlineStr">
        <is>
          <t>SPLIT HEAD KING</t>
        </is>
      </c>
      <c r="D68" s="12" t="inlineStr">
        <is>
          <t>Packaging</t>
        </is>
      </c>
      <c r="E68" s="12" t="inlineStr">
        <is>
          <t>Packaging type</t>
        </is>
      </c>
      <c r="F68" s="12" t="inlineStr">
        <is>
          <t>Color paper insert with vinyl PVC Bag with white bound seam &amp; inside cardboard wrapped by product(Stiffener)</t>
        </is>
      </c>
      <c r="G68" s="12" t="inlineStr"/>
      <c r="H68" s="12" t="inlineStr"/>
      <c r="I68" s="12" t="inlineStr">
        <is>
          <t>Main</t>
        </is>
      </c>
      <c r="J68" s="20" t="n">
        <v>1</v>
      </c>
      <c r="K68" s="20" t="inlineStr">
        <is>
          <t>pcs</t>
        </is>
      </c>
      <c r="L68" s="19" t="n">
        <v>2</v>
      </c>
      <c r="M68" s="16">
        <f>IFERROR(J68*(1+IFERROR(L68,0)/100)*VLOOKUP(B68,'1. Articles (SKUs)'!F:R,13,FALSE),"")</f>
        <v/>
      </c>
      <c r="N68" s="19" t="inlineStr"/>
    </row>
    <row r="69">
      <c r="A69" s="14" t="inlineStr">
        <is>
          <t>FT2</t>
        </is>
      </c>
      <c r="B69" s="14" t="inlineStr">
        <is>
          <t>GPFRIOMP79</t>
        </is>
      </c>
      <c r="C69" s="14" t="inlineStr">
        <is>
          <t>SPLIT HEAD KING</t>
        </is>
      </c>
      <c r="D69" s="14" t="inlineStr">
        <is>
          <t>PVC Bag</t>
        </is>
      </c>
      <c r="E69" s="14" t="inlineStr">
        <is>
          <t>Bag material</t>
        </is>
      </c>
      <c r="F69" s="14" t="inlineStr">
        <is>
          <t>12S (Thickness)- Transparent PVC Bag with 7S(Thickness) White PVC White Binding all around seam and 3# Nylon Coil White Zipper(No Hanger Loop on top)</t>
        </is>
      </c>
      <c r="G69" s="14" t="inlineStr"/>
      <c r="H69" s="14" t="inlineStr"/>
      <c r="I69" s="14" t="inlineStr">
        <is>
          <t>Mattress protector</t>
        </is>
      </c>
      <c r="J69" s="20" t="n">
        <v>1</v>
      </c>
      <c r="K69" s="20" t="inlineStr">
        <is>
          <t>pcs</t>
        </is>
      </c>
      <c r="L69" s="19" t="n">
        <v>2</v>
      </c>
      <c r="M69" s="17">
        <f>IFERROR(J69*(1+IFERROR(L69,0)/100)*VLOOKUP(B69,'1. Articles (SKUs)'!F:R,13,FALSE),"")</f>
        <v/>
      </c>
      <c r="N69" s="19" t="inlineStr"/>
    </row>
    <row r="70">
      <c r="A70" s="12" t="inlineStr">
        <is>
          <t>FT2</t>
        </is>
      </c>
      <c r="B70" s="12" t="inlineStr">
        <is>
          <t>GPFRIOMP79</t>
        </is>
      </c>
      <c r="C70" s="12" t="inlineStr">
        <is>
          <t>SPLIT HEAD KING</t>
        </is>
      </c>
      <c r="D70" s="12" t="inlineStr">
        <is>
          <t>Insert Card</t>
        </is>
      </c>
      <c r="E70" s="12" t="inlineStr">
        <is>
          <t>Color paper insert material</t>
        </is>
      </c>
      <c r="F70" s="12" t="inlineStr">
        <is>
          <t>Printed Insert quality -  INSERT (“U” Shape) - Insert Material: 250g-300g White Card Paper with Coating both side</t>
        </is>
      </c>
      <c r="G70" s="12" t="inlineStr"/>
      <c r="H70" s="12" t="inlineStr"/>
      <c r="I70" s="12" t="inlineStr">
        <is>
          <t>Mattress protector</t>
        </is>
      </c>
      <c r="J70" s="20" t="n">
        <v>1</v>
      </c>
      <c r="K70" s="20" t="inlineStr">
        <is>
          <t>pcs</t>
        </is>
      </c>
      <c r="L70" s="19" t="n">
        <v>2</v>
      </c>
      <c r="M70" s="16">
        <f>IFERROR(J70*(1+IFERROR(L70,0)/100)*VLOOKUP(B70,'1. Articles (SKUs)'!F:R,13,FALSE),"")</f>
        <v/>
      </c>
      <c r="N70" s="19" t="inlineStr"/>
    </row>
    <row r="71">
      <c r="A71" s="14" t="inlineStr">
        <is>
          <t>FT2</t>
        </is>
      </c>
      <c r="B71" s="14" t="inlineStr">
        <is>
          <t>GPFRIOMP79</t>
        </is>
      </c>
      <c r="C71" s="14" t="inlineStr">
        <is>
          <t>SPLIT HEAD KING</t>
        </is>
      </c>
      <c r="D71" s="14" t="inlineStr">
        <is>
          <t>Stiffener</t>
        </is>
      </c>
      <c r="E71" s="14" t="inlineStr">
        <is>
          <t>Cardboard material(Stiffener)</t>
        </is>
      </c>
      <c r="F71" s="14" t="inlineStr">
        <is>
          <t>Packaging inside need to put a “U”  1 ply thickness(1 layers with 1 layer corrugated ) in White Cardboard to maintain the shape before putting into the box</t>
        </is>
      </c>
      <c r="G71" s="14" t="inlineStr"/>
      <c r="H71" s="14" t="inlineStr"/>
      <c r="I71" s="14" t="inlineStr">
        <is>
          <t>Mattress protector</t>
        </is>
      </c>
      <c r="J71" s="20" t="n">
        <v>1</v>
      </c>
      <c r="K71" s="20" t="inlineStr">
        <is>
          <t>pcs</t>
        </is>
      </c>
      <c r="L71" s="19" t="n">
        <v>2</v>
      </c>
      <c r="M71" s="17">
        <f>IFERROR(J71*(1+IFERROR(L71,0)/100)*VLOOKUP(B71,'1. Articles (SKUs)'!F:R,13,FALSE),"")</f>
        <v/>
      </c>
      <c r="N71" s="19" t="inlineStr"/>
    </row>
    <row r="72">
      <c r="A72" s="12" t="inlineStr">
        <is>
          <t>FT4</t>
        </is>
      </c>
      <c r="B72" s="12" t="inlineStr">
        <is>
          <t>GPMP33</t>
        </is>
      </c>
      <c r="C72" s="12" t="inlineStr">
        <is>
          <t>TWIN</t>
        </is>
      </c>
      <c r="D72" s="12" t="inlineStr">
        <is>
          <t>Thread</t>
        </is>
      </c>
      <c r="E72" s="12" t="inlineStr">
        <is>
          <t>Polyester sewing thread</t>
        </is>
      </c>
      <c r="F72" s="12" t="inlineStr">
        <is>
          <t>100% polyester spun</t>
        </is>
      </c>
      <c r="G72" s="12" t="inlineStr">
        <is>
          <t>TEX40 or 40/2</t>
        </is>
      </c>
      <c r="H72" s="12" t="inlineStr">
        <is>
          <t>All seams</t>
        </is>
      </c>
      <c r="I72" s="12" t="inlineStr">
        <is>
          <t>Mattress protector</t>
        </is>
      </c>
      <c r="J72" s="18" t="n"/>
      <c r="K72" s="19" t="inlineStr">
        <is>
          <t>meters</t>
        </is>
      </c>
      <c r="L72" s="19" t="n">
        <v>3</v>
      </c>
      <c r="M72" s="16">
        <f>IFERROR(J72*(1+IFERROR(L72,0)/100)*VLOOKUP(B72,'1. Articles (SKUs)'!F:R,13,FALSE),"")</f>
        <v/>
      </c>
      <c r="N72" s="19" t="inlineStr"/>
    </row>
    <row r="73">
      <c r="A73" s="14" t="inlineStr">
        <is>
          <t>FT4</t>
        </is>
      </c>
      <c r="B73" s="14" t="inlineStr">
        <is>
          <t>GPMP33</t>
        </is>
      </c>
      <c r="C73" s="14" t="inlineStr">
        <is>
          <t>TWIN</t>
        </is>
      </c>
      <c r="D73" s="14" t="inlineStr">
        <is>
          <t>Elastic</t>
        </is>
      </c>
      <c r="E73" s="14" t="inlineStr">
        <is>
          <t>1/8" H Elastic band</t>
        </is>
      </c>
      <c r="F73" s="14" t="inlineStr">
        <is>
          <t>Rubber/polyester</t>
        </is>
      </c>
      <c r="G73" s="14" t="inlineStr">
        <is>
          <t>1/8"</t>
        </is>
      </c>
      <c r="H73" s="14" t="inlineStr">
        <is>
          <t>Around bottom edge</t>
        </is>
      </c>
      <c r="I73" s="14" t="inlineStr">
        <is>
          <t>Mattress protector</t>
        </is>
      </c>
      <c r="J73" s="18" t="n"/>
      <c r="K73" s="19" t="inlineStr">
        <is>
          <t>meters</t>
        </is>
      </c>
      <c r="L73" s="19" t="n">
        <v>3</v>
      </c>
      <c r="M73" s="17">
        <f>IFERROR(J73*(1+IFERROR(L73,0)/100)*VLOOKUP(B73,'1. Articles (SKUs)'!F:R,13,FALSE),"")</f>
        <v/>
      </c>
      <c r="N73" s="19" t="inlineStr"/>
    </row>
    <row r="74">
      <c r="A74" s="12" t="inlineStr">
        <is>
          <t>FT4</t>
        </is>
      </c>
      <c r="B74" s="12" t="inlineStr">
        <is>
          <t>GPMP33</t>
        </is>
      </c>
      <c r="C74" s="12" t="inlineStr">
        <is>
          <t>TWIN</t>
        </is>
      </c>
      <c r="D74" s="12" t="inlineStr">
        <is>
          <t>Law Tag</t>
        </is>
      </c>
      <c r="E74" s="12" t="inlineStr">
        <is>
          <t>Non woven label with coating</t>
        </is>
      </c>
      <c r="F74" s="12" t="inlineStr">
        <is>
          <t>3M non woven material with white ground / black color font  (INK CANNOT DISCOLORATION AND STAIN ON PRODUCT)</t>
        </is>
      </c>
      <c r="G74" s="12" t="inlineStr">
        <is>
          <t>4.0cmX7.0cm</t>
        </is>
      </c>
      <c r="H74" s="12" t="inlineStr">
        <is>
          <t>Position of Law Tag label – Sewing at the middle of short si</t>
        </is>
      </c>
      <c r="I74" s="12" t="inlineStr">
        <is>
          <t>Law tag/Care label</t>
        </is>
      </c>
      <c r="J74" s="20" t="n">
        <v>1</v>
      </c>
      <c r="K74" s="20" t="inlineStr">
        <is>
          <t>pcs</t>
        </is>
      </c>
      <c r="L74" s="19" t="n">
        <v>2</v>
      </c>
      <c r="M74" s="16">
        <f>IFERROR(J74*(1+IFERROR(L74,0)/100)*VLOOKUP(B74,'1. Articles (SKUs)'!F:R,13,FALSE),"")</f>
        <v/>
      </c>
      <c r="N74" s="19" t="inlineStr"/>
    </row>
    <row r="75">
      <c r="A75" s="14" t="inlineStr">
        <is>
          <t>FT4</t>
        </is>
      </c>
      <c r="B75" s="14" t="inlineStr">
        <is>
          <t>GPMP33</t>
        </is>
      </c>
      <c r="C75" s="14" t="inlineStr">
        <is>
          <t>TWIN</t>
        </is>
      </c>
      <c r="D75" s="14" t="inlineStr">
        <is>
          <t>Size Label</t>
        </is>
      </c>
      <c r="E75" s="14" t="inlineStr">
        <is>
          <t>Non woven label with coating</t>
        </is>
      </c>
      <c r="F75" s="14" t="inlineStr">
        <is>
          <t>3M non woven material with white ground / black color font  (INK CANNOT DISCOLORATION AND STAIN ON PRODUCT)</t>
        </is>
      </c>
      <c r="G75" s="14" t="inlineStr">
        <is>
          <t>4.0cmX3.0cm</t>
        </is>
      </c>
      <c r="H75" s="14" t="inlineStr">
        <is>
          <t>Next the law tag label</t>
        </is>
      </c>
      <c r="I75" s="14" t="inlineStr">
        <is>
          <t>Size label</t>
        </is>
      </c>
      <c r="J75" s="20" t="n">
        <v>1</v>
      </c>
      <c r="K75" s="20" t="inlineStr">
        <is>
          <t>pcs</t>
        </is>
      </c>
      <c r="L75" s="19" t="n">
        <v>2</v>
      </c>
      <c r="M75" s="17">
        <f>IFERROR(J75*(1+IFERROR(L75,0)/100)*VLOOKUP(B75,'1. Articles (SKUs)'!F:R,13,FALSE),"")</f>
        <v/>
      </c>
      <c r="N75" s="19" t="inlineStr"/>
    </row>
    <row r="76">
      <c r="A76" s="12" t="inlineStr">
        <is>
          <t>FT4</t>
        </is>
      </c>
      <c r="B76" s="12" t="inlineStr">
        <is>
          <t>GPMP33</t>
        </is>
      </c>
      <c r="C76" s="12" t="inlineStr">
        <is>
          <t>TWIN</t>
        </is>
      </c>
      <c r="D76" s="12" t="inlineStr">
        <is>
          <t>Size Label</t>
        </is>
      </c>
      <c r="E76" s="12" t="inlineStr">
        <is>
          <t>Non woven label with coating</t>
        </is>
      </c>
      <c r="F76" s="12" t="inlineStr">
        <is>
          <t>3M non woven material with white ground / black color font  (INK CANNOT DISCOLORATION AND STAIN ON PRODUCT)</t>
        </is>
      </c>
      <c r="G76" s="12" t="inlineStr">
        <is>
          <t>4.0cmX3.0cm</t>
        </is>
      </c>
      <c r="H76" s="12" t="inlineStr">
        <is>
          <t>Next the law tag label</t>
        </is>
      </c>
      <c r="I76" s="12" t="inlineStr">
        <is>
          <t>Size label</t>
        </is>
      </c>
      <c r="J76" s="20" t="n">
        <v>1</v>
      </c>
      <c r="K76" s="20" t="inlineStr">
        <is>
          <t>pcs</t>
        </is>
      </c>
      <c r="L76" s="19" t="n">
        <v>2</v>
      </c>
      <c r="M76" s="16">
        <f>IFERROR(J76*(1+IFERROR(L76,0)/100)*VLOOKUP(B76,'1. Articles (SKUs)'!F:R,13,FALSE),"")</f>
        <v/>
      </c>
      <c r="N76" s="19" t="inlineStr"/>
    </row>
    <row r="77">
      <c r="A77" s="14" t="inlineStr">
        <is>
          <t>FT4</t>
        </is>
      </c>
      <c r="B77" s="14" t="inlineStr">
        <is>
          <t>GPMP33</t>
        </is>
      </c>
      <c r="C77" s="14" t="inlineStr">
        <is>
          <t>TWIN</t>
        </is>
      </c>
      <c r="D77" s="14" t="inlineStr">
        <is>
          <t>Packaging</t>
        </is>
      </c>
      <c r="E77" s="14" t="inlineStr">
        <is>
          <t>Packaging type</t>
        </is>
      </c>
      <c r="F77" s="14" t="inlineStr">
        <is>
          <t>Color paper insert with vinyl PVC Bag with white bound seam &amp; inside cardboard wrapped by product(Stiffener)</t>
        </is>
      </c>
      <c r="G77" s="14" t="inlineStr"/>
      <c r="H77" s="14" t="inlineStr"/>
      <c r="I77" s="14" t="inlineStr">
        <is>
          <t>Main</t>
        </is>
      </c>
      <c r="J77" s="20" t="n">
        <v>1</v>
      </c>
      <c r="K77" s="20" t="inlineStr">
        <is>
          <t>pcs</t>
        </is>
      </c>
      <c r="L77" s="19" t="n">
        <v>2</v>
      </c>
      <c r="M77" s="17">
        <f>IFERROR(J77*(1+IFERROR(L77,0)/100)*VLOOKUP(B77,'1. Articles (SKUs)'!F:R,13,FALSE),"")</f>
        <v/>
      </c>
      <c r="N77" s="19" t="inlineStr"/>
    </row>
    <row r="78">
      <c r="A78" s="12" t="inlineStr">
        <is>
          <t>FT4</t>
        </is>
      </c>
      <c r="B78" s="12" t="inlineStr">
        <is>
          <t>GPMP33</t>
        </is>
      </c>
      <c r="C78" s="12" t="inlineStr">
        <is>
          <t>TWIN</t>
        </is>
      </c>
      <c r="D78" s="12" t="inlineStr">
        <is>
          <t>PVC Bag</t>
        </is>
      </c>
      <c r="E78" s="12" t="inlineStr">
        <is>
          <t>Bag material</t>
        </is>
      </c>
      <c r="F78" s="12" t="inlineStr">
        <is>
          <t>12S (Thickness)- Transparent PVC Bag with 7S(Thickness) White PVC White Binding all around seam and 3# Nylon Coil White Zipper(No Hanger Loop on top)</t>
        </is>
      </c>
      <c r="G78" s="12" t="inlineStr"/>
      <c r="H78" s="12" t="inlineStr"/>
      <c r="I78" s="12" t="inlineStr">
        <is>
          <t>Mattress protector</t>
        </is>
      </c>
      <c r="J78" s="20" t="n">
        <v>1</v>
      </c>
      <c r="K78" s="20" t="inlineStr">
        <is>
          <t>pcs</t>
        </is>
      </c>
      <c r="L78" s="19" t="n">
        <v>2</v>
      </c>
      <c r="M78" s="16">
        <f>IFERROR(J78*(1+IFERROR(L78,0)/100)*VLOOKUP(B78,'1. Articles (SKUs)'!F:R,13,FALSE),"")</f>
        <v/>
      </c>
      <c r="N78" s="19" t="inlineStr"/>
    </row>
    <row r="79">
      <c r="A79" s="14" t="inlineStr">
        <is>
          <t>FT4</t>
        </is>
      </c>
      <c r="B79" s="14" t="inlineStr">
        <is>
          <t>GPMP33</t>
        </is>
      </c>
      <c r="C79" s="14" t="inlineStr">
        <is>
          <t>TWIN</t>
        </is>
      </c>
      <c r="D79" s="14" t="inlineStr">
        <is>
          <t>Insert Card</t>
        </is>
      </c>
      <c r="E79" s="14" t="inlineStr">
        <is>
          <t>Color paper insert material</t>
        </is>
      </c>
      <c r="F79" s="14" t="inlineStr">
        <is>
          <t>Printed Insert quality -  INSERT (“U” Shape) - Insert Material: 250g-300g White Card Paper with Coating both side</t>
        </is>
      </c>
      <c r="G79" s="14" t="inlineStr"/>
      <c r="H79" s="14" t="inlineStr"/>
      <c r="I79" s="14" t="inlineStr">
        <is>
          <t>Mattress protector</t>
        </is>
      </c>
      <c r="J79" s="20" t="n">
        <v>1</v>
      </c>
      <c r="K79" s="20" t="inlineStr">
        <is>
          <t>pcs</t>
        </is>
      </c>
      <c r="L79" s="19" t="n">
        <v>2</v>
      </c>
      <c r="M79" s="17">
        <f>IFERROR(J79*(1+IFERROR(L79,0)/100)*VLOOKUP(B79,'1. Articles (SKUs)'!F:R,13,FALSE),"")</f>
        <v/>
      </c>
      <c r="N79" s="19" t="inlineStr"/>
    </row>
    <row r="80">
      <c r="A80" s="12" t="inlineStr">
        <is>
          <t>FT4</t>
        </is>
      </c>
      <c r="B80" s="12" t="inlineStr">
        <is>
          <t>GPMP33</t>
        </is>
      </c>
      <c r="C80" s="12" t="inlineStr">
        <is>
          <t>TWIN</t>
        </is>
      </c>
      <c r="D80" s="12" t="inlineStr">
        <is>
          <t>Stiffener</t>
        </is>
      </c>
      <c r="E80" s="12" t="inlineStr">
        <is>
          <t>Cardboard material(Stiffener)</t>
        </is>
      </c>
      <c r="F80" s="12" t="inlineStr">
        <is>
          <t>Packaging inside need to put a “U”  1 ply thickness(1 layers with 1 layer corrugated ) in White Cardboard to maintain the shape before putting into the box</t>
        </is>
      </c>
      <c r="G80" s="12" t="inlineStr"/>
      <c r="H80" s="12" t="inlineStr"/>
      <c r="I80" s="12" t="inlineStr">
        <is>
          <t>Mattress protector</t>
        </is>
      </c>
      <c r="J80" s="20" t="n">
        <v>1</v>
      </c>
      <c r="K80" s="20" t="inlineStr">
        <is>
          <t>pcs</t>
        </is>
      </c>
      <c r="L80" s="19" t="n">
        <v>2</v>
      </c>
      <c r="M80" s="16">
        <f>IFERROR(J80*(1+IFERROR(L80,0)/100)*VLOOKUP(B80,'1. Articles (SKUs)'!F:R,13,FALSE),"")</f>
        <v/>
      </c>
      <c r="N80" s="19" t="inlineStr"/>
    </row>
    <row r="81">
      <c r="A81" s="14" t="inlineStr">
        <is>
          <t>FT4</t>
        </is>
      </c>
      <c r="B81" s="14" t="inlineStr">
        <is>
          <t>GPMP38</t>
        </is>
      </c>
      <c r="C81" s="14" t="inlineStr">
        <is>
          <t>TWIN XL</t>
        </is>
      </c>
      <c r="D81" s="14" t="inlineStr">
        <is>
          <t>Thread</t>
        </is>
      </c>
      <c r="E81" s="14" t="inlineStr">
        <is>
          <t>Polyester sewing thread</t>
        </is>
      </c>
      <c r="F81" s="14" t="inlineStr">
        <is>
          <t>100% polyester spun</t>
        </is>
      </c>
      <c r="G81" s="14" t="inlineStr">
        <is>
          <t>TEX40 or 40/2</t>
        </is>
      </c>
      <c r="H81" s="14" t="inlineStr">
        <is>
          <t>All seams</t>
        </is>
      </c>
      <c r="I81" s="14" t="inlineStr">
        <is>
          <t>Mattress protector</t>
        </is>
      </c>
      <c r="J81" s="18" t="n"/>
      <c r="K81" s="19" t="inlineStr">
        <is>
          <t>meters</t>
        </is>
      </c>
      <c r="L81" s="19" t="n">
        <v>3</v>
      </c>
      <c r="M81" s="17">
        <f>IFERROR(J81*(1+IFERROR(L81,0)/100)*VLOOKUP(B81,'1. Articles (SKUs)'!F:R,13,FALSE),"")</f>
        <v/>
      </c>
      <c r="N81" s="19" t="inlineStr"/>
    </row>
    <row r="82">
      <c r="A82" s="12" t="inlineStr">
        <is>
          <t>FT4</t>
        </is>
      </c>
      <c r="B82" s="12" t="inlineStr">
        <is>
          <t>GPMP38</t>
        </is>
      </c>
      <c r="C82" s="12" t="inlineStr">
        <is>
          <t>TWIN XL</t>
        </is>
      </c>
      <c r="D82" s="12" t="inlineStr">
        <is>
          <t>Elastic</t>
        </is>
      </c>
      <c r="E82" s="12" t="inlineStr">
        <is>
          <t>1/8" H Elastic band</t>
        </is>
      </c>
      <c r="F82" s="12" t="inlineStr">
        <is>
          <t>Rubber/polyester</t>
        </is>
      </c>
      <c r="G82" s="12" t="inlineStr">
        <is>
          <t>1/8"</t>
        </is>
      </c>
      <c r="H82" s="12" t="inlineStr">
        <is>
          <t>Around bottom edge</t>
        </is>
      </c>
      <c r="I82" s="12" t="inlineStr">
        <is>
          <t>Mattress protector</t>
        </is>
      </c>
      <c r="J82" s="18" t="n"/>
      <c r="K82" s="19" t="inlineStr">
        <is>
          <t>meters</t>
        </is>
      </c>
      <c r="L82" s="19" t="n">
        <v>3</v>
      </c>
      <c r="M82" s="16">
        <f>IFERROR(J82*(1+IFERROR(L82,0)/100)*VLOOKUP(B82,'1. Articles (SKUs)'!F:R,13,FALSE),"")</f>
        <v/>
      </c>
      <c r="N82" s="19" t="inlineStr"/>
    </row>
    <row r="83">
      <c r="A83" s="14" t="inlineStr">
        <is>
          <t>FT4</t>
        </is>
      </c>
      <c r="B83" s="14" t="inlineStr">
        <is>
          <t>GPMP38</t>
        </is>
      </c>
      <c r="C83" s="14" t="inlineStr">
        <is>
          <t>TWIN XL</t>
        </is>
      </c>
      <c r="D83" s="14" t="inlineStr">
        <is>
          <t>Law Tag</t>
        </is>
      </c>
      <c r="E83" s="14" t="inlineStr">
        <is>
          <t>Non woven label with coating</t>
        </is>
      </c>
      <c r="F83" s="14" t="inlineStr">
        <is>
          <t>3M non woven material with white ground / black color font  (INK CANNOT DISCOLORATION AND STAIN ON PRODUCT)</t>
        </is>
      </c>
      <c r="G83" s="14" t="inlineStr">
        <is>
          <t>4.0cmX7.0cm</t>
        </is>
      </c>
      <c r="H83" s="14" t="inlineStr">
        <is>
          <t>Position of Law Tag label – Sewing at the middle of short si</t>
        </is>
      </c>
      <c r="I83" s="14" t="inlineStr">
        <is>
          <t>Law tag/Care label</t>
        </is>
      </c>
      <c r="J83" s="20" t="n">
        <v>1</v>
      </c>
      <c r="K83" s="20" t="inlineStr">
        <is>
          <t>pcs</t>
        </is>
      </c>
      <c r="L83" s="19" t="n">
        <v>2</v>
      </c>
      <c r="M83" s="17">
        <f>IFERROR(J83*(1+IFERROR(L83,0)/100)*VLOOKUP(B83,'1. Articles (SKUs)'!F:R,13,FALSE),"")</f>
        <v/>
      </c>
      <c r="N83" s="19" t="inlineStr"/>
    </row>
    <row r="84">
      <c r="A84" s="12" t="inlineStr">
        <is>
          <t>FT4</t>
        </is>
      </c>
      <c r="B84" s="12" t="inlineStr">
        <is>
          <t>GPMP38</t>
        </is>
      </c>
      <c r="C84" s="12" t="inlineStr">
        <is>
          <t>TWIN XL</t>
        </is>
      </c>
      <c r="D84" s="12" t="inlineStr">
        <is>
          <t>Size Label</t>
        </is>
      </c>
      <c r="E84" s="12" t="inlineStr">
        <is>
          <t>Non woven label with coating</t>
        </is>
      </c>
      <c r="F84" s="12" t="inlineStr">
        <is>
          <t>3M non woven material with white ground / black color font  (INK CANNOT DISCOLORATION AND STAIN ON PRODUCT)</t>
        </is>
      </c>
      <c r="G84" s="12" t="inlineStr">
        <is>
          <t>4.0cmX3.0cm</t>
        </is>
      </c>
      <c r="H84" s="12" t="inlineStr">
        <is>
          <t>Next the law tag label</t>
        </is>
      </c>
      <c r="I84" s="12" t="inlineStr">
        <is>
          <t>Size label</t>
        </is>
      </c>
      <c r="J84" s="20" t="n">
        <v>1</v>
      </c>
      <c r="K84" s="20" t="inlineStr">
        <is>
          <t>pcs</t>
        </is>
      </c>
      <c r="L84" s="19" t="n">
        <v>2</v>
      </c>
      <c r="M84" s="16">
        <f>IFERROR(J84*(1+IFERROR(L84,0)/100)*VLOOKUP(B84,'1. Articles (SKUs)'!F:R,13,FALSE),"")</f>
        <v/>
      </c>
      <c r="N84" s="19" t="inlineStr"/>
    </row>
    <row r="85">
      <c r="A85" s="14" t="inlineStr">
        <is>
          <t>FT4</t>
        </is>
      </c>
      <c r="B85" s="14" t="inlineStr">
        <is>
          <t>GPMP38</t>
        </is>
      </c>
      <c r="C85" s="14" t="inlineStr">
        <is>
          <t>TWIN XL</t>
        </is>
      </c>
      <c r="D85" s="14" t="inlineStr">
        <is>
          <t>Size Label</t>
        </is>
      </c>
      <c r="E85" s="14" t="inlineStr">
        <is>
          <t>Non woven label with coating</t>
        </is>
      </c>
      <c r="F85" s="14" t="inlineStr">
        <is>
          <t>3M non woven material with white ground / black color font  (INK CANNOT DISCOLORATION AND STAIN ON PRODUCT)</t>
        </is>
      </c>
      <c r="G85" s="14" t="inlineStr">
        <is>
          <t>4.0cmX3.0cm</t>
        </is>
      </c>
      <c r="H85" s="14" t="inlineStr">
        <is>
          <t>Next the law tag label</t>
        </is>
      </c>
      <c r="I85" s="14" t="inlineStr">
        <is>
          <t>Size label</t>
        </is>
      </c>
      <c r="J85" s="20" t="n">
        <v>1</v>
      </c>
      <c r="K85" s="20" t="inlineStr">
        <is>
          <t>pcs</t>
        </is>
      </c>
      <c r="L85" s="19" t="n">
        <v>2</v>
      </c>
      <c r="M85" s="17">
        <f>IFERROR(J85*(1+IFERROR(L85,0)/100)*VLOOKUP(B85,'1. Articles (SKUs)'!F:R,13,FALSE),"")</f>
        <v/>
      </c>
      <c r="N85" s="19" t="inlineStr"/>
    </row>
    <row r="86">
      <c r="A86" s="12" t="inlineStr">
        <is>
          <t>FT4</t>
        </is>
      </c>
      <c r="B86" s="12" t="inlineStr">
        <is>
          <t>GPMP38</t>
        </is>
      </c>
      <c r="C86" s="12" t="inlineStr">
        <is>
          <t>TWIN XL</t>
        </is>
      </c>
      <c r="D86" s="12" t="inlineStr">
        <is>
          <t>Packaging</t>
        </is>
      </c>
      <c r="E86" s="12" t="inlineStr">
        <is>
          <t>Packaging type</t>
        </is>
      </c>
      <c r="F86" s="12" t="inlineStr">
        <is>
          <t>Color paper insert with vinyl PVC Bag with white bound seam &amp; inside cardboard wrapped by product(Stiffener)</t>
        </is>
      </c>
      <c r="G86" s="12" t="inlineStr"/>
      <c r="H86" s="12" t="inlineStr"/>
      <c r="I86" s="12" t="inlineStr">
        <is>
          <t>Main</t>
        </is>
      </c>
      <c r="J86" s="20" t="n">
        <v>1</v>
      </c>
      <c r="K86" s="20" t="inlineStr">
        <is>
          <t>pcs</t>
        </is>
      </c>
      <c r="L86" s="19" t="n">
        <v>2</v>
      </c>
      <c r="M86" s="16">
        <f>IFERROR(J86*(1+IFERROR(L86,0)/100)*VLOOKUP(B86,'1. Articles (SKUs)'!F:R,13,FALSE),"")</f>
        <v/>
      </c>
      <c r="N86" s="19" t="inlineStr"/>
    </row>
    <row r="87">
      <c r="A87" s="14" t="inlineStr">
        <is>
          <t>FT4</t>
        </is>
      </c>
      <c r="B87" s="14" t="inlineStr">
        <is>
          <t>GPMP38</t>
        </is>
      </c>
      <c r="C87" s="14" t="inlineStr">
        <is>
          <t>TWIN XL</t>
        </is>
      </c>
      <c r="D87" s="14" t="inlineStr">
        <is>
          <t>PVC Bag</t>
        </is>
      </c>
      <c r="E87" s="14" t="inlineStr">
        <is>
          <t>Bag material</t>
        </is>
      </c>
      <c r="F87" s="14" t="inlineStr">
        <is>
          <t>12S (Thickness)- Transparent PVC Bag with 7S(Thickness) White PVC White Binding all around seam and 3# Nylon Coil White Zipper(No Hanger Loop on top)</t>
        </is>
      </c>
      <c r="G87" s="14" t="inlineStr"/>
      <c r="H87" s="14" t="inlineStr"/>
      <c r="I87" s="14" t="inlineStr">
        <is>
          <t>Mattress protector</t>
        </is>
      </c>
      <c r="J87" s="20" t="n">
        <v>1</v>
      </c>
      <c r="K87" s="20" t="inlineStr">
        <is>
          <t>pcs</t>
        </is>
      </c>
      <c r="L87" s="19" t="n">
        <v>2</v>
      </c>
      <c r="M87" s="17">
        <f>IFERROR(J87*(1+IFERROR(L87,0)/100)*VLOOKUP(B87,'1. Articles (SKUs)'!F:R,13,FALSE),"")</f>
        <v/>
      </c>
      <c r="N87" s="19" t="inlineStr"/>
    </row>
    <row r="88">
      <c r="A88" s="12" t="inlineStr">
        <is>
          <t>FT4</t>
        </is>
      </c>
      <c r="B88" s="12" t="inlineStr">
        <is>
          <t>GPMP38</t>
        </is>
      </c>
      <c r="C88" s="12" t="inlineStr">
        <is>
          <t>TWIN XL</t>
        </is>
      </c>
      <c r="D88" s="12" t="inlineStr">
        <is>
          <t>Insert Card</t>
        </is>
      </c>
      <c r="E88" s="12" t="inlineStr">
        <is>
          <t>Color paper insert material</t>
        </is>
      </c>
      <c r="F88" s="12" t="inlineStr">
        <is>
          <t>Printed Insert quality -  INSERT (“U” Shape) - Insert Material: 250g-300g White Card Paper with Coating both side</t>
        </is>
      </c>
      <c r="G88" s="12" t="inlineStr"/>
      <c r="H88" s="12" t="inlineStr"/>
      <c r="I88" s="12" t="inlineStr">
        <is>
          <t>Mattress protector</t>
        </is>
      </c>
      <c r="J88" s="20" t="n">
        <v>1</v>
      </c>
      <c r="K88" s="20" t="inlineStr">
        <is>
          <t>pcs</t>
        </is>
      </c>
      <c r="L88" s="19" t="n">
        <v>2</v>
      </c>
      <c r="M88" s="16">
        <f>IFERROR(J88*(1+IFERROR(L88,0)/100)*VLOOKUP(B88,'1. Articles (SKUs)'!F:R,13,FALSE),"")</f>
        <v/>
      </c>
      <c r="N88" s="19" t="inlineStr"/>
    </row>
    <row r="89">
      <c r="A89" s="14" t="inlineStr">
        <is>
          <t>FT4</t>
        </is>
      </c>
      <c r="B89" s="14" t="inlineStr">
        <is>
          <t>GPMP38</t>
        </is>
      </c>
      <c r="C89" s="14" t="inlineStr">
        <is>
          <t>TWIN XL</t>
        </is>
      </c>
      <c r="D89" s="14" t="inlineStr">
        <is>
          <t>Stiffener</t>
        </is>
      </c>
      <c r="E89" s="14" t="inlineStr">
        <is>
          <t>Cardboard material(Stiffener)</t>
        </is>
      </c>
      <c r="F89" s="14" t="inlineStr">
        <is>
          <t>Packaging inside need to put a “U”  1 ply thickness(1 layers with 1 layer corrugated ) in White Cardboard to maintain the shape before putting into the box</t>
        </is>
      </c>
      <c r="G89" s="14" t="inlineStr"/>
      <c r="H89" s="14" t="inlineStr"/>
      <c r="I89" s="14" t="inlineStr">
        <is>
          <t>Mattress protector</t>
        </is>
      </c>
      <c r="J89" s="20" t="n">
        <v>1</v>
      </c>
      <c r="K89" s="20" t="inlineStr">
        <is>
          <t>pcs</t>
        </is>
      </c>
      <c r="L89" s="19" t="n">
        <v>2</v>
      </c>
      <c r="M89" s="17">
        <f>IFERROR(J89*(1+IFERROR(L89,0)/100)*VLOOKUP(B89,'1. Articles (SKUs)'!F:R,13,FALSE),"")</f>
        <v/>
      </c>
      <c r="N89" s="19" t="inlineStr"/>
    </row>
    <row r="90">
      <c r="A90" s="12" t="inlineStr">
        <is>
          <t>FT4</t>
        </is>
      </c>
      <c r="B90" s="12" t="inlineStr">
        <is>
          <t>GPMP46</t>
        </is>
      </c>
      <c r="C90" s="12" t="inlineStr">
        <is>
          <t>FULL</t>
        </is>
      </c>
      <c r="D90" s="12" t="inlineStr">
        <is>
          <t>Thread</t>
        </is>
      </c>
      <c r="E90" s="12" t="inlineStr">
        <is>
          <t>Polyester sewing thread</t>
        </is>
      </c>
      <c r="F90" s="12" t="inlineStr">
        <is>
          <t>100% polyester spun</t>
        </is>
      </c>
      <c r="G90" s="12" t="inlineStr">
        <is>
          <t>TEX40 or 40/2</t>
        </is>
      </c>
      <c r="H90" s="12" t="inlineStr">
        <is>
          <t>All seams</t>
        </is>
      </c>
      <c r="I90" s="12" t="inlineStr">
        <is>
          <t>Mattress protector</t>
        </is>
      </c>
      <c r="J90" s="18" t="n"/>
      <c r="K90" s="19" t="inlineStr">
        <is>
          <t>meters</t>
        </is>
      </c>
      <c r="L90" s="19" t="n">
        <v>3</v>
      </c>
      <c r="M90" s="16">
        <f>IFERROR(J90*(1+IFERROR(L90,0)/100)*VLOOKUP(B90,'1. Articles (SKUs)'!F:R,13,FALSE),"")</f>
        <v/>
      </c>
      <c r="N90" s="19" t="inlineStr"/>
    </row>
    <row r="91">
      <c r="A91" s="14" t="inlineStr">
        <is>
          <t>FT4</t>
        </is>
      </c>
      <c r="B91" s="14" t="inlineStr">
        <is>
          <t>GPMP46</t>
        </is>
      </c>
      <c r="C91" s="14" t="inlineStr">
        <is>
          <t>FULL</t>
        </is>
      </c>
      <c r="D91" s="14" t="inlineStr">
        <is>
          <t>Elastic</t>
        </is>
      </c>
      <c r="E91" s="14" t="inlineStr">
        <is>
          <t>1/8" H Elastic band</t>
        </is>
      </c>
      <c r="F91" s="14" t="inlineStr">
        <is>
          <t>Rubber/polyester</t>
        </is>
      </c>
      <c r="G91" s="14" t="inlineStr">
        <is>
          <t>1/8"</t>
        </is>
      </c>
      <c r="H91" s="14" t="inlineStr">
        <is>
          <t>Around bottom edge</t>
        </is>
      </c>
      <c r="I91" s="14" t="inlineStr">
        <is>
          <t>Mattress protector</t>
        </is>
      </c>
      <c r="J91" s="18" t="n"/>
      <c r="K91" s="19" t="inlineStr">
        <is>
          <t>meters</t>
        </is>
      </c>
      <c r="L91" s="19" t="n">
        <v>3</v>
      </c>
      <c r="M91" s="17">
        <f>IFERROR(J91*(1+IFERROR(L91,0)/100)*VLOOKUP(B91,'1. Articles (SKUs)'!F:R,13,FALSE),"")</f>
        <v/>
      </c>
      <c r="N91" s="19" t="inlineStr"/>
    </row>
    <row r="92">
      <c r="A92" s="12" t="inlineStr">
        <is>
          <t>FT4</t>
        </is>
      </c>
      <c r="B92" s="12" t="inlineStr">
        <is>
          <t>GPMP46</t>
        </is>
      </c>
      <c r="C92" s="12" t="inlineStr">
        <is>
          <t>FULL</t>
        </is>
      </c>
      <c r="D92" s="12" t="inlineStr">
        <is>
          <t>Law Tag</t>
        </is>
      </c>
      <c r="E92" s="12" t="inlineStr">
        <is>
          <t>Non woven label with coating</t>
        </is>
      </c>
      <c r="F92" s="12" t="inlineStr">
        <is>
          <t>3M non woven material with white ground / black color font  (INK CANNOT DISCOLORATION AND STAIN ON PRODUCT)</t>
        </is>
      </c>
      <c r="G92" s="12" t="inlineStr">
        <is>
          <t>4.0cmX7.0cm</t>
        </is>
      </c>
      <c r="H92" s="12" t="inlineStr">
        <is>
          <t>Position of Law Tag label – Sewing at the middle of short si</t>
        </is>
      </c>
      <c r="I92" s="12" t="inlineStr">
        <is>
          <t>Law tag/Care label</t>
        </is>
      </c>
      <c r="J92" s="20" t="n">
        <v>1</v>
      </c>
      <c r="K92" s="20" t="inlineStr">
        <is>
          <t>pcs</t>
        </is>
      </c>
      <c r="L92" s="19" t="n">
        <v>2</v>
      </c>
      <c r="M92" s="16">
        <f>IFERROR(J92*(1+IFERROR(L92,0)/100)*VLOOKUP(B92,'1. Articles (SKUs)'!F:R,13,FALSE),"")</f>
        <v/>
      </c>
      <c r="N92" s="19" t="inlineStr"/>
    </row>
    <row r="93">
      <c r="A93" s="14" t="inlineStr">
        <is>
          <t>FT4</t>
        </is>
      </c>
      <c r="B93" s="14" t="inlineStr">
        <is>
          <t>GPMP46</t>
        </is>
      </c>
      <c r="C93" s="14" t="inlineStr">
        <is>
          <t>FULL</t>
        </is>
      </c>
      <c r="D93" s="14" t="inlineStr">
        <is>
          <t>Size Label</t>
        </is>
      </c>
      <c r="E93" s="14" t="inlineStr">
        <is>
          <t>Non woven label with coating</t>
        </is>
      </c>
      <c r="F93" s="14" t="inlineStr">
        <is>
          <t>3M non woven material with white ground / black color font  (INK CANNOT DISCOLORATION AND STAIN ON PRODUCT)</t>
        </is>
      </c>
      <c r="G93" s="14" t="inlineStr">
        <is>
          <t>4.0cmX3.0cm</t>
        </is>
      </c>
      <c r="H93" s="14" t="inlineStr">
        <is>
          <t>Next the law tag label</t>
        </is>
      </c>
      <c r="I93" s="14" t="inlineStr">
        <is>
          <t>Size label</t>
        </is>
      </c>
      <c r="J93" s="20" t="n">
        <v>1</v>
      </c>
      <c r="K93" s="20" t="inlineStr">
        <is>
          <t>pcs</t>
        </is>
      </c>
      <c r="L93" s="19" t="n">
        <v>2</v>
      </c>
      <c r="M93" s="17">
        <f>IFERROR(J93*(1+IFERROR(L93,0)/100)*VLOOKUP(B93,'1. Articles (SKUs)'!F:R,13,FALSE),"")</f>
        <v/>
      </c>
      <c r="N93" s="19" t="inlineStr"/>
    </row>
    <row r="94">
      <c r="A94" s="12" t="inlineStr">
        <is>
          <t>FT4</t>
        </is>
      </c>
      <c r="B94" s="12" t="inlineStr">
        <is>
          <t>GPMP46</t>
        </is>
      </c>
      <c r="C94" s="12" t="inlineStr">
        <is>
          <t>FULL</t>
        </is>
      </c>
      <c r="D94" s="12" t="inlineStr">
        <is>
          <t>Size Label</t>
        </is>
      </c>
      <c r="E94" s="12" t="inlineStr">
        <is>
          <t>Non woven label with coating</t>
        </is>
      </c>
      <c r="F94" s="12" t="inlineStr">
        <is>
          <t>3M non woven material with white ground / black color font  (INK CANNOT DISCOLORATION AND STAIN ON PRODUCT)</t>
        </is>
      </c>
      <c r="G94" s="12" t="inlineStr">
        <is>
          <t>4.0cmX3.0cm</t>
        </is>
      </c>
      <c r="H94" s="12" t="inlineStr">
        <is>
          <t>Next the law tag label</t>
        </is>
      </c>
      <c r="I94" s="12" t="inlineStr">
        <is>
          <t>Size label</t>
        </is>
      </c>
      <c r="J94" s="20" t="n">
        <v>1</v>
      </c>
      <c r="K94" s="20" t="inlineStr">
        <is>
          <t>pcs</t>
        </is>
      </c>
      <c r="L94" s="19" t="n">
        <v>2</v>
      </c>
      <c r="M94" s="16">
        <f>IFERROR(J94*(1+IFERROR(L94,0)/100)*VLOOKUP(B94,'1. Articles (SKUs)'!F:R,13,FALSE),"")</f>
        <v/>
      </c>
      <c r="N94" s="19" t="inlineStr"/>
    </row>
    <row r="95">
      <c r="A95" s="14" t="inlineStr">
        <is>
          <t>FT4</t>
        </is>
      </c>
      <c r="B95" s="14" t="inlineStr">
        <is>
          <t>GPMP46</t>
        </is>
      </c>
      <c r="C95" s="14" t="inlineStr">
        <is>
          <t>FULL</t>
        </is>
      </c>
      <c r="D95" s="14" t="inlineStr">
        <is>
          <t>Packaging</t>
        </is>
      </c>
      <c r="E95" s="14" t="inlineStr">
        <is>
          <t>Packaging type</t>
        </is>
      </c>
      <c r="F95" s="14" t="inlineStr">
        <is>
          <t>Color paper insert with vinyl PVC Bag with white bound seam &amp; inside cardboard wrapped by product(Stiffener)</t>
        </is>
      </c>
      <c r="G95" s="14" t="inlineStr"/>
      <c r="H95" s="14" t="inlineStr"/>
      <c r="I95" s="14" t="inlineStr">
        <is>
          <t>Main</t>
        </is>
      </c>
      <c r="J95" s="20" t="n">
        <v>1</v>
      </c>
      <c r="K95" s="20" t="inlineStr">
        <is>
          <t>pcs</t>
        </is>
      </c>
      <c r="L95" s="19" t="n">
        <v>2</v>
      </c>
      <c r="M95" s="17">
        <f>IFERROR(J95*(1+IFERROR(L95,0)/100)*VLOOKUP(B95,'1. Articles (SKUs)'!F:R,13,FALSE),"")</f>
        <v/>
      </c>
      <c r="N95" s="19" t="inlineStr"/>
    </row>
    <row r="96">
      <c r="A96" s="12" t="inlineStr">
        <is>
          <t>FT4</t>
        </is>
      </c>
      <c r="B96" s="12" t="inlineStr">
        <is>
          <t>GPMP46</t>
        </is>
      </c>
      <c r="C96" s="12" t="inlineStr">
        <is>
          <t>FULL</t>
        </is>
      </c>
      <c r="D96" s="12" t="inlineStr">
        <is>
          <t>PVC Bag</t>
        </is>
      </c>
      <c r="E96" s="12" t="inlineStr">
        <is>
          <t>Bag material</t>
        </is>
      </c>
      <c r="F96" s="12" t="inlineStr">
        <is>
          <t>12S (Thickness)- Transparent PVC Bag with 7S(Thickness) White PVC White Binding all around seam and 3# Nylon Coil White Zipper(No Hanger Loop on top)</t>
        </is>
      </c>
      <c r="G96" s="12" t="inlineStr"/>
      <c r="H96" s="12" t="inlineStr"/>
      <c r="I96" s="12" t="inlineStr">
        <is>
          <t>Mattress protector</t>
        </is>
      </c>
      <c r="J96" s="20" t="n">
        <v>1</v>
      </c>
      <c r="K96" s="20" t="inlineStr">
        <is>
          <t>pcs</t>
        </is>
      </c>
      <c r="L96" s="19" t="n">
        <v>2</v>
      </c>
      <c r="M96" s="16">
        <f>IFERROR(J96*(1+IFERROR(L96,0)/100)*VLOOKUP(B96,'1. Articles (SKUs)'!F:R,13,FALSE),"")</f>
        <v/>
      </c>
      <c r="N96" s="19" t="inlineStr"/>
    </row>
    <row r="97">
      <c r="A97" s="14" t="inlineStr">
        <is>
          <t>FT4</t>
        </is>
      </c>
      <c r="B97" s="14" t="inlineStr">
        <is>
          <t>GPMP46</t>
        </is>
      </c>
      <c r="C97" s="14" t="inlineStr">
        <is>
          <t>FULL</t>
        </is>
      </c>
      <c r="D97" s="14" t="inlineStr">
        <is>
          <t>Insert Card</t>
        </is>
      </c>
      <c r="E97" s="14" t="inlineStr">
        <is>
          <t>Color paper insert material</t>
        </is>
      </c>
      <c r="F97" s="14" t="inlineStr">
        <is>
          <t>Printed Insert quality -  INSERT (“U” Shape) - Insert Material: 250g-300g White Card Paper with Coating both side</t>
        </is>
      </c>
      <c r="G97" s="14" t="inlineStr"/>
      <c r="H97" s="14" t="inlineStr"/>
      <c r="I97" s="14" t="inlineStr">
        <is>
          <t>Mattress protector</t>
        </is>
      </c>
      <c r="J97" s="20" t="n">
        <v>1</v>
      </c>
      <c r="K97" s="20" t="inlineStr">
        <is>
          <t>pcs</t>
        </is>
      </c>
      <c r="L97" s="19" t="n">
        <v>2</v>
      </c>
      <c r="M97" s="17">
        <f>IFERROR(J97*(1+IFERROR(L97,0)/100)*VLOOKUP(B97,'1. Articles (SKUs)'!F:R,13,FALSE),"")</f>
        <v/>
      </c>
      <c r="N97" s="19" t="inlineStr"/>
    </row>
    <row r="98">
      <c r="A98" s="12" t="inlineStr">
        <is>
          <t>FT4</t>
        </is>
      </c>
      <c r="B98" s="12" t="inlineStr">
        <is>
          <t>GPMP46</t>
        </is>
      </c>
      <c r="C98" s="12" t="inlineStr">
        <is>
          <t>FULL</t>
        </is>
      </c>
      <c r="D98" s="12" t="inlineStr">
        <is>
          <t>Stiffener</t>
        </is>
      </c>
      <c r="E98" s="12" t="inlineStr">
        <is>
          <t>Cardboard material(Stiffener)</t>
        </is>
      </c>
      <c r="F98" s="12" t="inlineStr">
        <is>
          <t>Packaging inside need to put a “U”  1 ply thickness(1 layers with 1 layer corrugated ) in White Cardboard to maintain the shape before putting into the box</t>
        </is>
      </c>
      <c r="G98" s="12" t="inlineStr"/>
      <c r="H98" s="12" t="inlineStr"/>
      <c r="I98" s="12" t="inlineStr">
        <is>
          <t>Mattress protector</t>
        </is>
      </c>
      <c r="J98" s="20" t="n">
        <v>1</v>
      </c>
      <c r="K98" s="20" t="inlineStr">
        <is>
          <t>pcs</t>
        </is>
      </c>
      <c r="L98" s="19" t="n">
        <v>2</v>
      </c>
      <c r="M98" s="16">
        <f>IFERROR(J98*(1+IFERROR(L98,0)/100)*VLOOKUP(B98,'1. Articles (SKUs)'!F:R,13,FALSE),"")</f>
        <v/>
      </c>
      <c r="N98" s="19" t="inlineStr"/>
    </row>
    <row r="99">
      <c r="A99" s="14" t="inlineStr">
        <is>
          <t>FT4</t>
        </is>
      </c>
      <c r="B99" s="14" t="inlineStr">
        <is>
          <t>GPMP80</t>
        </is>
      </c>
      <c r="C99" s="14" t="inlineStr">
        <is>
          <t>FULL XL</t>
        </is>
      </c>
      <c r="D99" s="14" t="inlineStr">
        <is>
          <t>Thread</t>
        </is>
      </c>
      <c r="E99" s="14" t="inlineStr">
        <is>
          <t>Polyester sewing thread</t>
        </is>
      </c>
      <c r="F99" s="14" t="inlineStr">
        <is>
          <t>100% polyester spun</t>
        </is>
      </c>
      <c r="G99" s="14" t="inlineStr">
        <is>
          <t>TEX40 or 40/2</t>
        </is>
      </c>
      <c r="H99" s="14" t="inlineStr">
        <is>
          <t>All seams</t>
        </is>
      </c>
      <c r="I99" s="14" t="inlineStr">
        <is>
          <t>Mattress protector</t>
        </is>
      </c>
      <c r="J99" s="18" t="n"/>
      <c r="K99" s="19" t="inlineStr">
        <is>
          <t>meters</t>
        </is>
      </c>
      <c r="L99" s="19" t="n">
        <v>3</v>
      </c>
      <c r="M99" s="17">
        <f>IFERROR(J99*(1+IFERROR(L99,0)/100)*VLOOKUP(B99,'1. Articles (SKUs)'!F:R,13,FALSE),"")</f>
        <v/>
      </c>
      <c r="N99" s="19" t="inlineStr"/>
    </row>
    <row r="100">
      <c r="A100" s="12" t="inlineStr">
        <is>
          <t>FT4</t>
        </is>
      </c>
      <c r="B100" s="12" t="inlineStr">
        <is>
          <t>GPMP80</t>
        </is>
      </c>
      <c r="C100" s="12" t="inlineStr">
        <is>
          <t>FULL XL</t>
        </is>
      </c>
      <c r="D100" s="12" t="inlineStr">
        <is>
          <t>Elastic</t>
        </is>
      </c>
      <c r="E100" s="12" t="inlineStr">
        <is>
          <t>1/8" H Elastic band</t>
        </is>
      </c>
      <c r="F100" s="12" t="inlineStr">
        <is>
          <t>Rubber/polyester</t>
        </is>
      </c>
      <c r="G100" s="12" t="inlineStr">
        <is>
          <t>1/8"</t>
        </is>
      </c>
      <c r="H100" s="12" t="inlineStr">
        <is>
          <t>Around bottom edge</t>
        </is>
      </c>
      <c r="I100" s="12" t="inlineStr">
        <is>
          <t>Mattress protector</t>
        </is>
      </c>
      <c r="J100" s="18" t="n"/>
      <c r="K100" s="19" t="inlineStr">
        <is>
          <t>meters</t>
        </is>
      </c>
      <c r="L100" s="19" t="n">
        <v>3</v>
      </c>
      <c r="M100" s="16">
        <f>IFERROR(J100*(1+IFERROR(L100,0)/100)*VLOOKUP(B100,'1. Articles (SKUs)'!F:R,13,FALSE),"")</f>
        <v/>
      </c>
      <c r="N100" s="19" t="inlineStr"/>
    </row>
    <row r="101">
      <c r="A101" s="14" t="inlineStr">
        <is>
          <t>FT4</t>
        </is>
      </c>
      <c r="B101" s="14" t="inlineStr">
        <is>
          <t>GPMP80</t>
        </is>
      </c>
      <c r="C101" s="14" t="inlineStr">
        <is>
          <t>FULL XL</t>
        </is>
      </c>
      <c r="D101" s="14" t="inlineStr">
        <is>
          <t>Law Tag</t>
        </is>
      </c>
      <c r="E101" s="14" t="inlineStr">
        <is>
          <t>Non woven label with coating</t>
        </is>
      </c>
      <c r="F101" s="14" t="inlineStr">
        <is>
          <t>3M non woven material with white ground / black color font  (INK CANNOT DISCOLORATION AND STAIN ON PRODUCT)</t>
        </is>
      </c>
      <c r="G101" s="14" t="inlineStr">
        <is>
          <t>4.0cmX7.0cm</t>
        </is>
      </c>
      <c r="H101" s="14" t="inlineStr">
        <is>
          <t>Position of Law Tag label – Sewing at the middle of short si</t>
        </is>
      </c>
      <c r="I101" s="14" t="inlineStr">
        <is>
          <t>Law tag/Care label</t>
        </is>
      </c>
      <c r="J101" s="20" t="n">
        <v>1</v>
      </c>
      <c r="K101" s="20" t="inlineStr">
        <is>
          <t>pcs</t>
        </is>
      </c>
      <c r="L101" s="19" t="n">
        <v>2</v>
      </c>
      <c r="M101" s="17">
        <f>IFERROR(J101*(1+IFERROR(L101,0)/100)*VLOOKUP(B101,'1. Articles (SKUs)'!F:R,13,FALSE),"")</f>
        <v/>
      </c>
      <c r="N101" s="19" t="inlineStr"/>
    </row>
    <row r="102">
      <c r="A102" s="12" t="inlineStr">
        <is>
          <t>FT4</t>
        </is>
      </c>
      <c r="B102" s="12" t="inlineStr">
        <is>
          <t>GPMP80</t>
        </is>
      </c>
      <c r="C102" s="12" t="inlineStr">
        <is>
          <t>FULL XL</t>
        </is>
      </c>
      <c r="D102" s="12" t="inlineStr">
        <is>
          <t>Size Label</t>
        </is>
      </c>
      <c r="E102" s="12" t="inlineStr">
        <is>
          <t>Non woven label with coating</t>
        </is>
      </c>
      <c r="F102" s="12" t="inlineStr">
        <is>
          <t>3M non woven material with white ground / black color font  (INK CANNOT DISCOLORATION AND STAIN ON PRODUCT)</t>
        </is>
      </c>
      <c r="G102" s="12" t="inlineStr">
        <is>
          <t>4.0cmX3.0cm</t>
        </is>
      </c>
      <c r="H102" s="12" t="inlineStr">
        <is>
          <t>Next the law tag label</t>
        </is>
      </c>
      <c r="I102" s="12" t="inlineStr">
        <is>
          <t>Size label</t>
        </is>
      </c>
      <c r="J102" s="20" t="n">
        <v>1</v>
      </c>
      <c r="K102" s="20" t="inlineStr">
        <is>
          <t>pcs</t>
        </is>
      </c>
      <c r="L102" s="19" t="n">
        <v>2</v>
      </c>
      <c r="M102" s="16">
        <f>IFERROR(J102*(1+IFERROR(L102,0)/100)*VLOOKUP(B102,'1. Articles (SKUs)'!F:R,13,FALSE),"")</f>
        <v/>
      </c>
      <c r="N102" s="19" t="inlineStr"/>
    </row>
    <row r="103">
      <c r="A103" s="14" t="inlineStr">
        <is>
          <t>FT4</t>
        </is>
      </c>
      <c r="B103" s="14" t="inlineStr">
        <is>
          <t>GPMP80</t>
        </is>
      </c>
      <c r="C103" s="14" t="inlineStr">
        <is>
          <t>FULL XL</t>
        </is>
      </c>
      <c r="D103" s="14" t="inlineStr">
        <is>
          <t>Size Label</t>
        </is>
      </c>
      <c r="E103" s="14" t="inlineStr">
        <is>
          <t>Non woven label with coating</t>
        </is>
      </c>
      <c r="F103" s="14" t="inlineStr">
        <is>
          <t>3M non woven material with white ground / black color font  (INK CANNOT DISCOLORATION AND STAIN ON PRODUCT)</t>
        </is>
      </c>
      <c r="G103" s="14" t="inlineStr">
        <is>
          <t>4.0cmX3.0cm</t>
        </is>
      </c>
      <c r="H103" s="14" t="inlineStr">
        <is>
          <t>Next the law tag label</t>
        </is>
      </c>
      <c r="I103" s="14" t="inlineStr">
        <is>
          <t>Size label</t>
        </is>
      </c>
      <c r="J103" s="20" t="n">
        <v>1</v>
      </c>
      <c r="K103" s="20" t="inlineStr">
        <is>
          <t>pcs</t>
        </is>
      </c>
      <c r="L103" s="19" t="n">
        <v>2</v>
      </c>
      <c r="M103" s="17">
        <f>IFERROR(J103*(1+IFERROR(L103,0)/100)*VLOOKUP(B103,'1. Articles (SKUs)'!F:R,13,FALSE),"")</f>
        <v/>
      </c>
      <c r="N103" s="19" t="inlineStr"/>
    </row>
    <row r="104">
      <c r="A104" s="12" t="inlineStr">
        <is>
          <t>FT4</t>
        </is>
      </c>
      <c r="B104" s="12" t="inlineStr">
        <is>
          <t>GPMP80</t>
        </is>
      </c>
      <c r="C104" s="12" t="inlineStr">
        <is>
          <t>FULL XL</t>
        </is>
      </c>
      <c r="D104" s="12" t="inlineStr">
        <is>
          <t>Packaging</t>
        </is>
      </c>
      <c r="E104" s="12" t="inlineStr">
        <is>
          <t>Packaging type</t>
        </is>
      </c>
      <c r="F104" s="12" t="inlineStr">
        <is>
          <t>Color paper insert with vinyl PVC Bag with white bound seam &amp; inside cardboard wrapped by product(Stiffener)</t>
        </is>
      </c>
      <c r="G104" s="12" t="inlineStr"/>
      <c r="H104" s="12" t="inlineStr"/>
      <c r="I104" s="12" t="inlineStr">
        <is>
          <t>Main</t>
        </is>
      </c>
      <c r="J104" s="20" t="n">
        <v>1</v>
      </c>
      <c r="K104" s="20" t="inlineStr">
        <is>
          <t>pcs</t>
        </is>
      </c>
      <c r="L104" s="19" t="n">
        <v>2</v>
      </c>
      <c r="M104" s="16">
        <f>IFERROR(J104*(1+IFERROR(L104,0)/100)*VLOOKUP(B104,'1. Articles (SKUs)'!F:R,13,FALSE),"")</f>
        <v/>
      </c>
      <c r="N104" s="19" t="inlineStr"/>
    </row>
    <row r="105">
      <c r="A105" s="14" t="inlineStr">
        <is>
          <t>FT4</t>
        </is>
      </c>
      <c r="B105" s="14" t="inlineStr">
        <is>
          <t>GPMP80</t>
        </is>
      </c>
      <c r="C105" s="14" t="inlineStr">
        <is>
          <t>FULL XL</t>
        </is>
      </c>
      <c r="D105" s="14" t="inlineStr">
        <is>
          <t>PVC Bag</t>
        </is>
      </c>
      <c r="E105" s="14" t="inlineStr">
        <is>
          <t>Bag material</t>
        </is>
      </c>
      <c r="F105" s="14" t="inlineStr">
        <is>
          <t>12S (Thickness)- Transparent PVC Bag with 7S(Thickness) White PVC White Binding all around seam and 3# Nylon Coil White Zipper(No Hanger Loop on top)</t>
        </is>
      </c>
      <c r="G105" s="14" t="inlineStr"/>
      <c r="H105" s="14" t="inlineStr"/>
      <c r="I105" s="14" t="inlineStr">
        <is>
          <t>Mattress protector</t>
        </is>
      </c>
      <c r="J105" s="20" t="n">
        <v>1</v>
      </c>
      <c r="K105" s="20" t="inlineStr">
        <is>
          <t>pcs</t>
        </is>
      </c>
      <c r="L105" s="19" t="n">
        <v>2</v>
      </c>
      <c r="M105" s="17">
        <f>IFERROR(J105*(1+IFERROR(L105,0)/100)*VLOOKUP(B105,'1. Articles (SKUs)'!F:R,13,FALSE),"")</f>
        <v/>
      </c>
      <c r="N105" s="19" t="inlineStr"/>
    </row>
    <row r="106">
      <c r="A106" s="12" t="inlineStr">
        <is>
          <t>FT4</t>
        </is>
      </c>
      <c r="B106" s="12" t="inlineStr">
        <is>
          <t>GPMP80</t>
        </is>
      </c>
      <c r="C106" s="12" t="inlineStr">
        <is>
          <t>FULL XL</t>
        </is>
      </c>
      <c r="D106" s="12" t="inlineStr">
        <is>
          <t>Insert Card</t>
        </is>
      </c>
      <c r="E106" s="12" t="inlineStr">
        <is>
          <t>Color paper insert material</t>
        </is>
      </c>
      <c r="F106" s="12" t="inlineStr">
        <is>
          <t>Printed Insert quality -  INSERT (“U” Shape) - Insert Material: 250g-300g White Card Paper with Coating both side</t>
        </is>
      </c>
      <c r="G106" s="12" t="inlineStr"/>
      <c r="H106" s="12" t="inlineStr"/>
      <c r="I106" s="12" t="inlineStr">
        <is>
          <t>Mattress protector</t>
        </is>
      </c>
      <c r="J106" s="20" t="n">
        <v>1</v>
      </c>
      <c r="K106" s="20" t="inlineStr">
        <is>
          <t>pcs</t>
        </is>
      </c>
      <c r="L106" s="19" t="n">
        <v>2</v>
      </c>
      <c r="M106" s="16">
        <f>IFERROR(J106*(1+IFERROR(L106,0)/100)*VLOOKUP(B106,'1. Articles (SKUs)'!F:R,13,FALSE),"")</f>
        <v/>
      </c>
      <c r="N106" s="19" t="inlineStr"/>
    </row>
    <row r="107">
      <c r="A107" s="14" t="inlineStr">
        <is>
          <t>FT4</t>
        </is>
      </c>
      <c r="B107" s="14" t="inlineStr">
        <is>
          <t>GPMP80</t>
        </is>
      </c>
      <c r="C107" s="14" t="inlineStr">
        <is>
          <t>FULL XL</t>
        </is>
      </c>
      <c r="D107" s="14" t="inlineStr">
        <is>
          <t>Stiffener</t>
        </is>
      </c>
      <c r="E107" s="14" t="inlineStr">
        <is>
          <t>Cardboard material(Stiffener)</t>
        </is>
      </c>
      <c r="F107" s="14" t="inlineStr">
        <is>
          <t>Packaging inside need to put a “U”  1 ply thickness(1 layers with 1 layer corrugated ) in White Cardboard to maintain the shape before putting into the box</t>
        </is>
      </c>
      <c r="G107" s="14" t="inlineStr"/>
      <c r="H107" s="14" t="inlineStr"/>
      <c r="I107" s="14" t="inlineStr">
        <is>
          <t>Mattress protector</t>
        </is>
      </c>
      <c r="J107" s="20" t="n">
        <v>1</v>
      </c>
      <c r="K107" s="20" t="inlineStr">
        <is>
          <t>pcs</t>
        </is>
      </c>
      <c r="L107" s="19" t="n">
        <v>2</v>
      </c>
      <c r="M107" s="17">
        <f>IFERROR(J107*(1+IFERROR(L107,0)/100)*VLOOKUP(B107,'1. Articles (SKUs)'!F:R,13,FALSE),"")</f>
        <v/>
      </c>
      <c r="N107" s="19" t="inlineStr"/>
    </row>
    <row r="108">
      <c r="A108" s="12" t="inlineStr">
        <is>
          <t>FT4</t>
        </is>
      </c>
      <c r="B108" s="12" t="inlineStr">
        <is>
          <t>GPMP50</t>
        </is>
      </c>
      <c r="C108" s="12" t="inlineStr">
        <is>
          <t>QUEEN</t>
        </is>
      </c>
      <c r="D108" s="12" t="inlineStr">
        <is>
          <t>Thread</t>
        </is>
      </c>
      <c r="E108" s="12" t="inlineStr">
        <is>
          <t>Polyester sewing thread</t>
        </is>
      </c>
      <c r="F108" s="12" t="inlineStr">
        <is>
          <t>100% polyester spun</t>
        </is>
      </c>
      <c r="G108" s="12" t="inlineStr">
        <is>
          <t>TEX40 or 40/2</t>
        </is>
      </c>
      <c r="H108" s="12" t="inlineStr">
        <is>
          <t>All seams</t>
        </is>
      </c>
      <c r="I108" s="12" t="inlineStr">
        <is>
          <t>Mattress protector</t>
        </is>
      </c>
      <c r="J108" s="18" t="n"/>
      <c r="K108" s="19" t="inlineStr">
        <is>
          <t>meters</t>
        </is>
      </c>
      <c r="L108" s="19" t="n">
        <v>3</v>
      </c>
      <c r="M108" s="16">
        <f>IFERROR(J108*(1+IFERROR(L108,0)/100)*VLOOKUP(B108,'1. Articles (SKUs)'!F:R,13,FALSE),"")</f>
        <v/>
      </c>
      <c r="N108" s="19" t="inlineStr"/>
    </row>
    <row r="109">
      <c r="A109" s="14" t="inlineStr">
        <is>
          <t>FT4</t>
        </is>
      </c>
      <c r="B109" s="14" t="inlineStr">
        <is>
          <t>GPMP50</t>
        </is>
      </c>
      <c r="C109" s="14" t="inlineStr">
        <is>
          <t>QUEEN</t>
        </is>
      </c>
      <c r="D109" s="14" t="inlineStr">
        <is>
          <t>Elastic</t>
        </is>
      </c>
      <c r="E109" s="14" t="inlineStr">
        <is>
          <t>1/8" H Elastic band</t>
        </is>
      </c>
      <c r="F109" s="14" t="inlineStr">
        <is>
          <t>Rubber/polyester</t>
        </is>
      </c>
      <c r="G109" s="14" t="inlineStr">
        <is>
          <t>1/8"</t>
        </is>
      </c>
      <c r="H109" s="14" t="inlineStr">
        <is>
          <t>Around bottom edge</t>
        </is>
      </c>
      <c r="I109" s="14" t="inlineStr">
        <is>
          <t>Mattress protector</t>
        </is>
      </c>
      <c r="J109" s="18" t="n"/>
      <c r="K109" s="19" t="inlineStr">
        <is>
          <t>meters</t>
        </is>
      </c>
      <c r="L109" s="19" t="n">
        <v>3</v>
      </c>
      <c r="M109" s="17">
        <f>IFERROR(J109*(1+IFERROR(L109,0)/100)*VLOOKUP(B109,'1. Articles (SKUs)'!F:R,13,FALSE),"")</f>
        <v/>
      </c>
      <c r="N109" s="19" t="inlineStr"/>
    </row>
    <row r="110">
      <c r="A110" s="12" t="inlineStr">
        <is>
          <t>FT4</t>
        </is>
      </c>
      <c r="B110" s="12" t="inlineStr">
        <is>
          <t>GPMP50</t>
        </is>
      </c>
      <c r="C110" s="12" t="inlineStr">
        <is>
          <t>QUEEN</t>
        </is>
      </c>
      <c r="D110" s="12" t="inlineStr">
        <is>
          <t>Law Tag</t>
        </is>
      </c>
      <c r="E110" s="12" t="inlineStr">
        <is>
          <t>Non woven label with coating</t>
        </is>
      </c>
      <c r="F110" s="12" t="inlineStr">
        <is>
          <t>3M non woven material with white ground / black color font  (INK CANNOT DISCOLORATION AND STAIN ON PRODUCT)</t>
        </is>
      </c>
      <c r="G110" s="12" t="inlineStr">
        <is>
          <t>4.0cmX7.0cm</t>
        </is>
      </c>
      <c r="H110" s="12" t="inlineStr">
        <is>
          <t>Position of Law Tag label – Sewing at the middle of short si</t>
        </is>
      </c>
      <c r="I110" s="12" t="inlineStr">
        <is>
          <t>Law tag/Care label</t>
        </is>
      </c>
      <c r="J110" s="20" t="n">
        <v>1</v>
      </c>
      <c r="K110" s="20" t="inlineStr">
        <is>
          <t>pcs</t>
        </is>
      </c>
      <c r="L110" s="19" t="n">
        <v>2</v>
      </c>
      <c r="M110" s="16">
        <f>IFERROR(J110*(1+IFERROR(L110,0)/100)*VLOOKUP(B110,'1. Articles (SKUs)'!F:R,13,FALSE),"")</f>
        <v/>
      </c>
      <c r="N110" s="19" t="inlineStr"/>
    </row>
    <row r="111">
      <c r="A111" s="14" t="inlineStr">
        <is>
          <t>FT4</t>
        </is>
      </c>
      <c r="B111" s="14" t="inlineStr">
        <is>
          <t>GPMP50</t>
        </is>
      </c>
      <c r="C111" s="14" t="inlineStr">
        <is>
          <t>QUEEN</t>
        </is>
      </c>
      <c r="D111" s="14" t="inlineStr">
        <is>
          <t>Size Label</t>
        </is>
      </c>
      <c r="E111" s="14" t="inlineStr">
        <is>
          <t>Non woven label with coating</t>
        </is>
      </c>
      <c r="F111" s="14" t="inlineStr">
        <is>
          <t>3M non woven material with white ground / black color font  (INK CANNOT DISCOLORATION AND STAIN ON PRODUCT)</t>
        </is>
      </c>
      <c r="G111" s="14" t="inlineStr">
        <is>
          <t>4.0cmX3.0cm</t>
        </is>
      </c>
      <c r="H111" s="14" t="inlineStr">
        <is>
          <t>Next the law tag label</t>
        </is>
      </c>
      <c r="I111" s="14" t="inlineStr">
        <is>
          <t>Size label</t>
        </is>
      </c>
      <c r="J111" s="20" t="n">
        <v>1</v>
      </c>
      <c r="K111" s="20" t="inlineStr">
        <is>
          <t>pcs</t>
        </is>
      </c>
      <c r="L111" s="19" t="n">
        <v>2</v>
      </c>
      <c r="M111" s="17">
        <f>IFERROR(J111*(1+IFERROR(L111,0)/100)*VLOOKUP(B111,'1. Articles (SKUs)'!F:R,13,FALSE),"")</f>
        <v/>
      </c>
      <c r="N111" s="19" t="inlineStr"/>
    </row>
    <row r="112">
      <c r="A112" s="12" t="inlineStr">
        <is>
          <t>FT4</t>
        </is>
      </c>
      <c r="B112" s="12" t="inlineStr">
        <is>
          <t>GPMP50</t>
        </is>
      </c>
      <c r="C112" s="12" t="inlineStr">
        <is>
          <t>QUEEN</t>
        </is>
      </c>
      <c r="D112" s="12" t="inlineStr">
        <is>
          <t>Size Label</t>
        </is>
      </c>
      <c r="E112" s="12" t="inlineStr">
        <is>
          <t>Non woven label with coating</t>
        </is>
      </c>
      <c r="F112" s="12" t="inlineStr">
        <is>
          <t>3M non woven material with white ground / black color font  (INK CANNOT DISCOLORATION AND STAIN ON PRODUCT)</t>
        </is>
      </c>
      <c r="G112" s="12" t="inlineStr">
        <is>
          <t>4.0cmX3.0cm</t>
        </is>
      </c>
      <c r="H112" s="12" t="inlineStr">
        <is>
          <t>Next the law tag label</t>
        </is>
      </c>
      <c r="I112" s="12" t="inlineStr">
        <is>
          <t>Size label</t>
        </is>
      </c>
      <c r="J112" s="20" t="n">
        <v>1</v>
      </c>
      <c r="K112" s="20" t="inlineStr">
        <is>
          <t>pcs</t>
        </is>
      </c>
      <c r="L112" s="19" t="n">
        <v>2</v>
      </c>
      <c r="M112" s="16">
        <f>IFERROR(J112*(1+IFERROR(L112,0)/100)*VLOOKUP(B112,'1. Articles (SKUs)'!F:R,13,FALSE),"")</f>
        <v/>
      </c>
      <c r="N112" s="19" t="inlineStr"/>
    </row>
    <row r="113">
      <c r="A113" s="14" t="inlineStr">
        <is>
          <t>FT4</t>
        </is>
      </c>
      <c r="B113" s="14" t="inlineStr">
        <is>
          <t>GPMP50</t>
        </is>
      </c>
      <c r="C113" s="14" t="inlineStr">
        <is>
          <t>QUEEN</t>
        </is>
      </c>
      <c r="D113" s="14" t="inlineStr">
        <is>
          <t>Packaging</t>
        </is>
      </c>
      <c r="E113" s="14" t="inlineStr">
        <is>
          <t>Packaging type</t>
        </is>
      </c>
      <c r="F113" s="14" t="inlineStr">
        <is>
          <t>Color paper insert with vinyl PVC Bag with white bound seam &amp; inside cardboard wrapped by product(Stiffener)</t>
        </is>
      </c>
      <c r="G113" s="14" t="inlineStr"/>
      <c r="H113" s="14" t="inlineStr"/>
      <c r="I113" s="14" t="inlineStr">
        <is>
          <t>Main</t>
        </is>
      </c>
      <c r="J113" s="20" t="n">
        <v>1</v>
      </c>
      <c r="K113" s="20" t="inlineStr">
        <is>
          <t>pcs</t>
        </is>
      </c>
      <c r="L113" s="19" t="n">
        <v>2</v>
      </c>
      <c r="M113" s="17">
        <f>IFERROR(J113*(1+IFERROR(L113,0)/100)*VLOOKUP(B113,'1. Articles (SKUs)'!F:R,13,FALSE),"")</f>
        <v/>
      </c>
      <c r="N113" s="19" t="inlineStr"/>
    </row>
    <row r="114">
      <c r="A114" s="12" t="inlineStr">
        <is>
          <t>FT4</t>
        </is>
      </c>
      <c r="B114" s="12" t="inlineStr">
        <is>
          <t>GPMP50</t>
        </is>
      </c>
      <c r="C114" s="12" t="inlineStr">
        <is>
          <t>QUEEN</t>
        </is>
      </c>
      <c r="D114" s="12" t="inlineStr">
        <is>
          <t>PVC Bag</t>
        </is>
      </c>
      <c r="E114" s="12" t="inlineStr">
        <is>
          <t>Bag material</t>
        </is>
      </c>
      <c r="F114" s="12" t="inlineStr">
        <is>
          <t>12S (Thickness)- Transparent PVC Bag with 7S(Thickness) White PVC White Binding all around seam and 3# Nylon Coil White Zipper(No Hanger Loop on top)</t>
        </is>
      </c>
      <c r="G114" s="12" t="inlineStr"/>
      <c r="H114" s="12" t="inlineStr"/>
      <c r="I114" s="12" t="inlineStr">
        <is>
          <t>Mattress protector</t>
        </is>
      </c>
      <c r="J114" s="20" t="n">
        <v>1</v>
      </c>
      <c r="K114" s="20" t="inlineStr">
        <is>
          <t>pcs</t>
        </is>
      </c>
      <c r="L114" s="19" t="n">
        <v>2</v>
      </c>
      <c r="M114" s="16">
        <f>IFERROR(J114*(1+IFERROR(L114,0)/100)*VLOOKUP(B114,'1. Articles (SKUs)'!F:R,13,FALSE),"")</f>
        <v/>
      </c>
      <c r="N114" s="19" t="inlineStr"/>
    </row>
    <row r="115">
      <c r="A115" s="14" t="inlineStr">
        <is>
          <t>FT4</t>
        </is>
      </c>
      <c r="B115" s="14" t="inlineStr">
        <is>
          <t>GPMP50</t>
        </is>
      </c>
      <c r="C115" s="14" t="inlineStr">
        <is>
          <t>QUEEN</t>
        </is>
      </c>
      <c r="D115" s="14" t="inlineStr">
        <is>
          <t>Insert Card</t>
        </is>
      </c>
      <c r="E115" s="14" t="inlineStr">
        <is>
          <t>Color paper insert material</t>
        </is>
      </c>
      <c r="F115" s="14" t="inlineStr">
        <is>
          <t>Printed Insert quality -  INSERT (“U” Shape) - Insert Material: 250g-300g White Card Paper with Coating both side</t>
        </is>
      </c>
      <c r="G115" s="14" t="inlineStr"/>
      <c r="H115" s="14" t="inlineStr"/>
      <c r="I115" s="14" t="inlineStr">
        <is>
          <t>Mattress protector</t>
        </is>
      </c>
      <c r="J115" s="20" t="n">
        <v>1</v>
      </c>
      <c r="K115" s="20" t="inlineStr">
        <is>
          <t>pcs</t>
        </is>
      </c>
      <c r="L115" s="19" t="n">
        <v>2</v>
      </c>
      <c r="M115" s="17">
        <f>IFERROR(J115*(1+IFERROR(L115,0)/100)*VLOOKUP(B115,'1. Articles (SKUs)'!F:R,13,FALSE),"")</f>
        <v/>
      </c>
      <c r="N115" s="19" t="inlineStr"/>
    </row>
    <row r="116">
      <c r="A116" s="12" t="inlineStr">
        <is>
          <t>FT4</t>
        </is>
      </c>
      <c r="B116" s="12" t="inlineStr">
        <is>
          <t>GPMP50</t>
        </is>
      </c>
      <c r="C116" s="12" t="inlineStr">
        <is>
          <t>QUEEN</t>
        </is>
      </c>
      <c r="D116" s="12" t="inlineStr">
        <is>
          <t>Stiffener</t>
        </is>
      </c>
      <c r="E116" s="12" t="inlineStr">
        <is>
          <t>Cardboard material(Stiffener)</t>
        </is>
      </c>
      <c r="F116" s="12" t="inlineStr">
        <is>
          <t>Packaging inside need to put a “U”  1 ply thickness(1 layers with 1 layer corrugated ) in White Cardboard to maintain the shape before putting into the box</t>
        </is>
      </c>
      <c r="G116" s="12" t="inlineStr"/>
      <c r="H116" s="12" t="inlineStr"/>
      <c r="I116" s="12" t="inlineStr">
        <is>
          <t>Mattress protector</t>
        </is>
      </c>
      <c r="J116" s="20" t="n">
        <v>1</v>
      </c>
      <c r="K116" s="20" t="inlineStr">
        <is>
          <t>pcs</t>
        </is>
      </c>
      <c r="L116" s="19" t="n">
        <v>2</v>
      </c>
      <c r="M116" s="16">
        <f>IFERROR(J116*(1+IFERROR(L116,0)/100)*VLOOKUP(B116,'1. Articles (SKUs)'!F:R,13,FALSE),"")</f>
        <v/>
      </c>
      <c r="N116" s="19" t="inlineStr"/>
    </row>
    <row r="117">
      <c r="A117" s="14" t="inlineStr">
        <is>
          <t>FT4</t>
        </is>
      </c>
      <c r="B117" s="14" t="inlineStr">
        <is>
          <t>GPMP78</t>
        </is>
      </c>
      <c r="C117" s="14" t="inlineStr">
        <is>
          <t>KING</t>
        </is>
      </c>
      <c r="D117" s="14" t="inlineStr">
        <is>
          <t>Thread</t>
        </is>
      </c>
      <c r="E117" s="14" t="inlineStr">
        <is>
          <t>Polyester sewing thread</t>
        </is>
      </c>
      <c r="F117" s="14" t="inlineStr">
        <is>
          <t>100% polyester spun</t>
        </is>
      </c>
      <c r="G117" s="14" t="inlineStr">
        <is>
          <t>TEX40 or 40/2</t>
        </is>
      </c>
      <c r="H117" s="14" t="inlineStr">
        <is>
          <t>All seams</t>
        </is>
      </c>
      <c r="I117" s="14" t="inlineStr">
        <is>
          <t>Mattress protector</t>
        </is>
      </c>
      <c r="J117" s="18" t="n"/>
      <c r="K117" s="19" t="inlineStr">
        <is>
          <t>meters</t>
        </is>
      </c>
      <c r="L117" s="19" t="n">
        <v>3</v>
      </c>
      <c r="M117" s="17">
        <f>IFERROR(J117*(1+IFERROR(L117,0)/100)*VLOOKUP(B117,'1. Articles (SKUs)'!F:R,13,FALSE),"")</f>
        <v/>
      </c>
      <c r="N117" s="19" t="inlineStr"/>
    </row>
    <row r="118">
      <c r="A118" s="12" t="inlineStr">
        <is>
          <t>FT4</t>
        </is>
      </c>
      <c r="B118" s="12" t="inlineStr">
        <is>
          <t>GPMP78</t>
        </is>
      </c>
      <c r="C118" s="12" t="inlineStr">
        <is>
          <t>KING</t>
        </is>
      </c>
      <c r="D118" s="12" t="inlineStr">
        <is>
          <t>Elastic</t>
        </is>
      </c>
      <c r="E118" s="12" t="inlineStr">
        <is>
          <t>1/8" H Elastic band</t>
        </is>
      </c>
      <c r="F118" s="12" t="inlineStr">
        <is>
          <t>Rubber/polyester</t>
        </is>
      </c>
      <c r="G118" s="12" t="inlineStr">
        <is>
          <t>1/8"</t>
        </is>
      </c>
      <c r="H118" s="12" t="inlineStr">
        <is>
          <t>Around bottom edge</t>
        </is>
      </c>
      <c r="I118" s="12" t="inlineStr">
        <is>
          <t>Mattress protector</t>
        </is>
      </c>
      <c r="J118" s="18" t="n"/>
      <c r="K118" s="19" t="inlineStr">
        <is>
          <t>meters</t>
        </is>
      </c>
      <c r="L118" s="19" t="n">
        <v>3</v>
      </c>
      <c r="M118" s="16">
        <f>IFERROR(J118*(1+IFERROR(L118,0)/100)*VLOOKUP(B118,'1. Articles (SKUs)'!F:R,13,FALSE),"")</f>
        <v/>
      </c>
      <c r="N118" s="19" t="inlineStr"/>
    </row>
    <row r="119">
      <c r="A119" s="14" t="inlineStr">
        <is>
          <t>FT4</t>
        </is>
      </c>
      <c r="B119" s="14" t="inlineStr">
        <is>
          <t>GPMP78</t>
        </is>
      </c>
      <c r="C119" s="14" t="inlineStr">
        <is>
          <t>KING</t>
        </is>
      </c>
      <c r="D119" s="14" t="inlineStr">
        <is>
          <t>Law Tag</t>
        </is>
      </c>
      <c r="E119" s="14" t="inlineStr">
        <is>
          <t>Non woven label with coating</t>
        </is>
      </c>
      <c r="F119" s="14" t="inlineStr">
        <is>
          <t>3M non woven material with white ground / black color font  (INK CANNOT DISCOLORATION AND STAIN ON PRODUCT)</t>
        </is>
      </c>
      <c r="G119" s="14" t="inlineStr">
        <is>
          <t>4.0cmX7.0cm</t>
        </is>
      </c>
      <c r="H119" s="14" t="inlineStr">
        <is>
          <t>Position of Law Tag label – Sewing at the middle of short si</t>
        </is>
      </c>
      <c r="I119" s="14" t="inlineStr">
        <is>
          <t>Law tag/Care label</t>
        </is>
      </c>
      <c r="J119" s="20" t="n">
        <v>1</v>
      </c>
      <c r="K119" s="20" t="inlineStr">
        <is>
          <t>pcs</t>
        </is>
      </c>
      <c r="L119" s="19" t="n">
        <v>2</v>
      </c>
      <c r="M119" s="17">
        <f>IFERROR(J119*(1+IFERROR(L119,0)/100)*VLOOKUP(B119,'1. Articles (SKUs)'!F:R,13,FALSE),"")</f>
        <v/>
      </c>
      <c r="N119" s="19" t="inlineStr"/>
    </row>
    <row r="120">
      <c r="A120" s="12" t="inlineStr">
        <is>
          <t>FT4</t>
        </is>
      </c>
      <c r="B120" s="12" t="inlineStr">
        <is>
          <t>GPMP78</t>
        </is>
      </c>
      <c r="C120" s="12" t="inlineStr">
        <is>
          <t>KING</t>
        </is>
      </c>
      <c r="D120" s="12" t="inlineStr">
        <is>
          <t>Size Label</t>
        </is>
      </c>
      <c r="E120" s="12" t="inlineStr">
        <is>
          <t>Non woven label with coating</t>
        </is>
      </c>
      <c r="F120" s="12" t="inlineStr">
        <is>
          <t>3M non woven material with white ground / black color font  (INK CANNOT DISCOLORATION AND STAIN ON PRODUCT)</t>
        </is>
      </c>
      <c r="G120" s="12" t="inlineStr">
        <is>
          <t>4.0cmX3.0cm</t>
        </is>
      </c>
      <c r="H120" s="12" t="inlineStr">
        <is>
          <t>Next the law tag label</t>
        </is>
      </c>
      <c r="I120" s="12" t="inlineStr">
        <is>
          <t>Size label</t>
        </is>
      </c>
      <c r="J120" s="20" t="n">
        <v>1</v>
      </c>
      <c r="K120" s="20" t="inlineStr">
        <is>
          <t>pcs</t>
        </is>
      </c>
      <c r="L120" s="19" t="n">
        <v>2</v>
      </c>
      <c r="M120" s="16">
        <f>IFERROR(J120*(1+IFERROR(L120,0)/100)*VLOOKUP(B120,'1. Articles (SKUs)'!F:R,13,FALSE),"")</f>
        <v/>
      </c>
      <c r="N120" s="19" t="inlineStr"/>
    </row>
    <row r="121">
      <c r="A121" s="14" t="inlineStr">
        <is>
          <t>FT4</t>
        </is>
      </c>
      <c r="B121" s="14" t="inlineStr">
        <is>
          <t>GPMP78</t>
        </is>
      </c>
      <c r="C121" s="14" t="inlineStr">
        <is>
          <t>KING</t>
        </is>
      </c>
      <c r="D121" s="14" t="inlineStr">
        <is>
          <t>Size Label</t>
        </is>
      </c>
      <c r="E121" s="14" t="inlineStr">
        <is>
          <t>Non woven label with coating</t>
        </is>
      </c>
      <c r="F121" s="14" t="inlineStr">
        <is>
          <t>3M non woven material with white ground / black color font  (INK CANNOT DISCOLORATION AND STAIN ON PRODUCT)</t>
        </is>
      </c>
      <c r="G121" s="14" t="inlineStr">
        <is>
          <t>4.0cmX3.0cm</t>
        </is>
      </c>
      <c r="H121" s="14" t="inlineStr">
        <is>
          <t>Next the law tag label</t>
        </is>
      </c>
      <c r="I121" s="14" t="inlineStr">
        <is>
          <t>Size label</t>
        </is>
      </c>
      <c r="J121" s="20" t="n">
        <v>1</v>
      </c>
      <c r="K121" s="20" t="inlineStr">
        <is>
          <t>pcs</t>
        </is>
      </c>
      <c r="L121" s="19" t="n">
        <v>2</v>
      </c>
      <c r="M121" s="17">
        <f>IFERROR(J121*(1+IFERROR(L121,0)/100)*VLOOKUP(B121,'1. Articles (SKUs)'!F:R,13,FALSE),"")</f>
        <v/>
      </c>
      <c r="N121" s="19" t="inlineStr"/>
    </row>
    <row r="122">
      <c r="A122" s="12" t="inlineStr">
        <is>
          <t>FT4</t>
        </is>
      </c>
      <c r="B122" s="12" t="inlineStr">
        <is>
          <t>GPMP78</t>
        </is>
      </c>
      <c r="C122" s="12" t="inlineStr">
        <is>
          <t>KING</t>
        </is>
      </c>
      <c r="D122" s="12" t="inlineStr">
        <is>
          <t>Packaging</t>
        </is>
      </c>
      <c r="E122" s="12" t="inlineStr">
        <is>
          <t>Packaging type</t>
        </is>
      </c>
      <c r="F122" s="12" t="inlineStr">
        <is>
          <t>Color paper insert with vinyl PVC Bag with white bound seam &amp; inside cardboard wrapped by product(Stiffener)</t>
        </is>
      </c>
      <c r="G122" s="12" t="inlineStr"/>
      <c r="H122" s="12" t="inlineStr"/>
      <c r="I122" s="12" t="inlineStr">
        <is>
          <t>Main</t>
        </is>
      </c>
      <c r="J122" s="20" t="n">
        <v>1</v>
      </c>
      <c r="K122" s="20" t="inlineStr">
        <is>
          <t>pcs</t>
        </is>
      </c>
      <c r="L122" s="19" t="n">
        <v>2</v>
      </c>
      <c r="M122" s="16">
        <f>IFERROR(J122*(1+IFERROR(L122,0)/100)*VLOOKUP(B122,'1. Articles (SKUs)'!F:R,13,FALSE),"")</f>
        <v/>
      </c>
      <c r="N122" s="19" t="inlineStr"/>
    </row>
    <row r="123">
      <c r="A123" s="14" t="inlineStr">
        <is>
          <t>FT4</t>
        </is>
      </c>
      <c r="B123" s="14" t="inlineStr">
        <is>
          <t>GPMP78</t>
        </is>
      </c>
      <c r="C123" s="14" t="inlineStr">
        <is>
          <t>KING</t>
        </is>
      </c>
      <c r="D123" s="14" t="inlineStr">
        <is>
          <t>PVC Bag</t>
        </is>
      </c>
      <c r="E123" s="14" t="inlineStr">
        <is>
          <t>Bag material</t>
        </is>
      </c>
      <c r="F123" s="14" t="inlineStr">
        <is>
          <t>12S (Thickness)- Transparent PVC Bag with 7S(Thickness) White PVC White Binding all around seam and 3# Nylon Coil White Zipper(No Hanger Loop on top)</t>
        </is>
      </c>
      <c r="G123" s="14" t="inlineStr"/>
      <c r="H123" s="14" t="inlineStr"/>
      <c r="I123" s="14" t="inlineStr">
        <is>
          <t>Mattress protector</t>
        </is>
      </c>
      <c r="J123" s="20" t="n">
        <v>1</v>
      </c>
      <c r="K123" s="20" t="inlineStr">
        <is>
          <t>pcs</t>
        </is>
      </c>
      <c r="L123" s="19" t="n">
        <v>2</v>
      </c>
      <c r="M123" s="17">
        <f>IFERROR(J123*(1+IFERROR(L123,0)/100)*VLOOKUP(B123,'1. Articles (SKUs)'!F:R,13,FALSE),"")</f>
        <v/>
      </c>
      <c r="N123" s="19" t="inlineStr"/>
    </row>
    <row r="124">
      <c r="A124" s="12" t="inlineStr">
        <is>
          <t>FT4</t>
        </is>
      </c>
      <c r="B124" s="12" t="inlineStr">
        <is>
          <t>GPMP78</t>
        </is>
      </c>
      <c r="C124" s="12" t="inlineStr">
        <is>
          <t>KING</t>
        </is>
      </c>
      <c r="D124" s="12" t="inlineStr">
        <is>
          <t>Insert Card</t>
        </is>
      </c>
      <c r="E124" s="12" t="inlineStr">
        <is>
          <t>Color paper insert material</t>
        </is>
      </c>
      <c r="F124" s="12" t="inlineStr">
        <is>
          <t>Printed Insert quality -  INSERT (“U” Shape) - Insert Material: 250g-300g White Card Paper with Coating both side</t>
        </is>
      </c>
      <c r="G124" s="12" t="inlineStr"/>
      <c r="H124" s="12" t="inlineStr"/>
      <c r="I124" s="12" t="inlineStr">
        <is>
          <t>Mattress protector</t>
        </is>
      </c>
      <c r="J124" s="20" t="n">
        <v>1</v>
      </c>
      <c r="K124" s="20" t="inlineStr">
        <is>
          <t>pcs</t>
        </is>
      </c>
      <c r="L124" s="19" t="n">
        <v>2</v>
      </c>
      <c r="M124" s="16">
        <f>IFERROR(J124*(1+IFERROR(L124,0)/100)*VLOOKUP(B124,'1. Articles (SKUs)'!F:R,13,FALSE),"")</f>
        <v/>
      </c>
      <c r="N124" s="19" t="inlineStr"/>
    </row>
    <row r="125">
      <c r="A125" s="14" t="inlineStr">
        <is>
          <t>FT4</t>
        </is>
      </c>
      <c r="B125" s="14" t="inlineStr">
        <is>
          <t>GPMP78</t>
        </is>
      </c>
      <c r="C125" s="14" t="inlineStr">
        <is>
          <t>KING</t>
        </is>
      </c>
      <c r="D125" s="14" t="inlineStr">
        <is>
          <t>Stiffener</t>
        </is>
      </c>
      <c r="E125" s="14" t="inlineStr">
        <is>
          <t>Cardboard material(Stiffener)</t>
        </is>
      </c>
      <c r="F125" s="14" t="inlineStr">
        <is>
          <t>Packaging inside need to put a “U”  1 ply thickness(1 layers with 1 layer corrugated ) in White Cardboard to maintain the shape before putting into the box</t>
        </is>
      </c>
      <c r="G125" s="14" t="inlineStr"/>
      <c r="H125" s="14" t="inlineStr"/>
      <c r="I125" s="14" t="inlineStr">
        <is>
          <t>Mattress protector</t>
        </is>
      </c>
      <c r="J125" s="20" t="n">
        <v>1</v>
      </c>
      <c r="K125" s="20" t="inlineStr">
        <is>
          <t>pcs</t>
        </is>
      </c>
      <c r="L125" s="19" t="n">
        <v>2</v>
      </c>
      <c r="M125" s="17">
        <f>IFERROR(J125*(1+IFERROR(L125,0)/100)*VLOOKUP(B125,'1. Articles (SKUs)'!F:R,13,FALSE),"")</f>
        <v/>
      </c>
      <c r="N125" s="19" t="inlineStr"/>
    </row>
    <row r="126">
      <c r="A126" s="12" t="inlineStr">
        <is>
          <t>FT4</t>
        </is>
      </c>
      <c r="B126" s="12" t="inlineStr">
        <is>
          <t>GPMP72</t>
        </is>
      </c>
      <c r="C126" s="12" t="inlineStr">
        <is>
          <t>CAL KING</t>
        </is>
      </c>
      <c r="D126" s="12" t="inlineStr">
        <is>
          <t>Thread</t>
        </is>
      </c>
      <c r="E126" s="12" t="inlineStr">
        <is>
          <t>Polyester sewing thread</t>
        </is>
      </c>
      <c r="F126" s="12" t="inlineStr">
        <is>
          <t>100% polyester spun</t>
        </is>
      </c>
      <c r="G126" s="12" t="inlineStr">
        <is>
          <t>TEX40 or 40/2</t>
        </is>
      </c>
      <c r="H126" s="12" t="inlineStr">
        <is>
          <t>All seams</t>
        </is>
      </c>
      <c r="I126" s="12" t="inlineStr">
        <is>
          <t>Mattress protector</t>
        </is>
      </c>
      <c r="J126" s="18" t="n"/>
      <c r="K126" s="19" t="inlineStr">
        <is>
          <t>meters</t>
        </is>
      </c>
      <c r="L126" s="19" t="n">
        <v>3</v>
      </c>
      <c r="M126" s="16">
        <f>IFERROR(J126*(1+IFERROR(L126,0)/100)*VLOOKUP(B126,'1. Articles (SKUs)'!F:R,13,FALSE),"")</f>
        <v/>
      </c>
      <c r="N126" s="19" t="inlineStr"/>
    </row>
    <row r="127">
      <c r="A127" s="14" t="inlineStr">
        <is>
          <t>FT4</t>
        </is>
      </c>
      <c r="B127" s="14" t="inlineStr">
        <is>
          <t>GPMP72</t>
        </is>
      </c>
      <c r="C127" s="14" t="inlineStr">
        <is>
          <t>CAL KING</t>
        </is>
      </c>
      <c r="D127" s="14" t="inlineStr">
        <is>
          <t>Elastic</t>
        </is>
      </c>
      <c r="E127" s="14" t="inlineStr">
        <is>
          <t>1/8" H Elastic band</t>
        </is>
      </c>
      <c r="F127" s="14" t="inlineStr">
        <is>
          <t>Rubber/polyester</t>
        </is>
      </c>
      <c r="G127" s="14" t="inlineStr">
        <is>
          <t>1/8"</t>
        </is>
      </c>
      <c r="H127" s="14" t="inlineStr">
        <is>
          <t>Around bottom edge</t>
        </is>
      </c>
      <c r="I127" s="14" t="inlineStr">
        <is>
          <t>Mattress protector</t>
        </is>
      </c>
      <c r="J127" s="18" t="n"/>
      <c r="K127" s="19" t="inlineStr">
        <is>
          <t>meters</t>
        </is>
      </c>
      <c r="L127" s="19" t="n">
        <v>3</v>
      </c>
      <c r="M127" s="17">
        <f>IFERROR(J127*(1+IFERROR(L127,0)/100)*VLOOKUP(B127,'1. Articles (SKUs)'!F:R,13,FALSE),"")</f>
        <v/>
      </c>
      <c r="N127" s="19" t="inlineStr"/>
    </row>
    <row r="128">
      <c r="A128" s="12" t="inlineStr">
        <is>
          <t>FT4</t>
        </is>
      </c>
      <c r="B128" s="12" t="inlineStr">
        <is>
          <t>GPMP72</t>
        </is>
      </c>
      <c r="C128" s="12" t="inlineStr">
        <is>
          <t>CAL KING</t>
        </is>
      </c>
      <c r="D128" s="12" t="inlineStr">
        <is>
          <t>Law Tag</t>
        </is>
      </c>
      <c r="E128" s="12" t="inlineStr">
        <is>
          <t>Non woven label with coating</t>
        </is>
      </c>
      <c r="F128" s="12" t="inlineStr">
        <is>
          <t>3M non woven material with white ground / black color font  (INK CANNOT DISCOLORATION AND STAIN ON PRODUCT)</t>
        </is>
      </c>
      <c r="G128" s="12" t="inlineStr">
        <is>
          <t>4.0cmX7.0cm</t>
        </is>
      </c>
      <c r="H128" s="12" t="inlineStr">
        <is>
          <t>Position of Law Tag label – Sewing at the middle of short si</t>
        </is>
      </c>
      <c r="I128" s="12" t="inlineStr">
        <is>
          <t>Law tag/Care label</t>
        </is>
      </c>
      <c r="J128" s="20" t="n">
        <v>1</v>
      </c>
      <c r="K128" s="20" t="inlineStr">
        <is>
          <t>pcs</t>
        </is>
      </c>
      <c r="L128" s="19" t="n">
        <v>2</v>
      </c>
      <c r="M128" s="16">
        <f>IFERROR(J128*(1+IFERROR(L128,0)/100)*VLOOKUP(B128,'1. Articles (SKUs)'!F:R,13,FALSE),"")</f>
        <v/>
      </c>
      <c r="N128" s="19" t="inlineStr"/>
    </row>
    <row r="129">
      <c r="A129" s="14" t="inlineStr">
        <is>
          <t>FT4</t>
        </is>
      </c>
      <c r="B129" s="14" t="inlineStr">
        <is>
          <t>GPMP72</t>
        </is>
      </c>
      <c r="C129" s="14" t="inlineStr">
        <is>
          <t>CAL KING</t>
        </is>
      </c>
      <c r="D129" s="14" t="inlineStr">
        <is>
          <t>Size Label</t>
        </is>
      </c>
      <c r="E129" s="14" t="inlineStr">
        <is>
          <t>Non woven label with coating</t>
        </is>
      </c>
      <c r="F129" s="14" t="inlineStr">
        <is>
          <t>3M non woven material with white ground / black color font  (INK CANNOT DISCOLORATION AND STAIN ON PRODUCT)</t>
        </is>
      </c>
      <c r="G129" s="14" t="inlineStr">
        <is>
          <t>4.0cmX3.0cm</t>
        </is>
      </c>
      <c r="H129" s="14" t="inlineStr">
        <is>
          <t>Next the law tag label</t>
        </is>
      </c>
      <c r="I129" s="14" t="inlineStr">
        <is>
          <t>Size label</t>
        </is>
      </c>
      <c r="J129" s="20" t="n">
        <v>1</v>
      </c>
      <c r="K129" s="20" t="inlineStr">
        <is>
          <t>pcs</t>
        </is>
      </c>
      <c r="L129" s="19" t="n">
        <v>2</v>
      </c>
      <c r="M129" s="17">
        <f>IFERROR(J129*(1+IFERROR(L129,0)/100)*VLOOKUP(B129,'1. Articles (SKUs)'!F:R,13,FALSE),"")</f>
        <v/>
      </c>
      <c r="N129" s="19" t="inlineStr"/>
    </row>
    <row r="130">
      <c r="A130" s="12" t="inlineStr">
        <is>
          <t>FT4</t>
        </is>
      </c>
      <c r="B130" s="12" t="inlineStr">
        <is>
          <t>GPMP72</t>
        </is>
      </c>
      <c r="C130" s="12" t="inlineStr">
        <is>
          <t>CAL KING</t>
        </is>
      </c>
      <c r="D130" s="12" t="inlineStr">
        <is>
          <t>Size Label</t>
        </is>
      </c>
      <c r="E130" s="12" t="inlineStr">
        <is>
          <t>Non woven label with coating</t>
        </is>
      </c>
      <c r="F130" s="12" t="inlineStr">
        <is>
          <t>3M non woven material with white ground / black color font  (INK CANNOT DISCOLORATION AND STAIN ON PRODUCT)</t>
        </is>
      </c>
      <c r="G130" s="12" t="inlineStr">
        <is>
          <t>4.0cmX3.0cm</t>
        </is>
      </c>
      <c r="H130" s="12" t="inlineStr">
        <is>
          <t>Next the law tag label</t>
        </is>
      </c>
      <c r="I130" s="12" t="inlineStr">
        <is>
          <t>Size label</t>
        </is>
      </c>
      <c r="J130" s="20" t="n">
        <v>1</v>
      </c>
      <c r="K130" s="20" t="inlineStr">
        <is>
          <t>pcs</t>
        </is>
      </c>
      <c r="L130" s="19" t="n">
        <v>2</v>
      </c>
      <c r="M130" s="16">
        <f>IFERROR(J130*(1+IFERROR(L130,0)/100)*VLOOKUP(B130,'1. Articles (SKUs)'!F:R,13,FALSE),"")</f>
        <v/>
      </c>
      <c r="N130" s="19" t="inlineStr"/>
    </row>
    <row r="131">
      <c r="A131" s="14" t="inlineStr">
        <is>
          <t>FT4</t>
        </is>
      </c>
      <c r="B131" s="14" t="inlineStr">
        <is>
          <t>GPMP72</t>
        </is>
      </c>
      <c r="C131" s="14" t="inlineStr">
        <is>
          <t>CAL KING</t>
        </is>
      </c>
      <c r="D131" s="14" t="inlineStr">
        <is>
          <t>Packaging</t>
        </is>
      </c>
      <c r="E131" s="14" t="inlineStr">
        <is>
          <t>Packaging type</t>
        </is>
      </c>
      <c r="F131" s="14" t="inlineStr">
        <is>
          <t>Color paper insert with vinyl PVC Bag with white bound seam &amp; inside cardboard wrapped by product(Stiffener)</t>
        </is>
      </c>
      <c r="G131" s="14" t="inlineStr"/>
      <c r="H131" s="14" t="inlineStr"/>
      <c r="I131" s="14" t="inlineStr">
        <is>
          <t>Main</t>
        </is>
      </c>
      <c r="J131" s="20" t="n">
        <v>1</v>
      </c>
      <c r="K131" s="20" t="inlineStr">
        <is>
          <t>pcs</t>
        </is>
      </c>
      <c r="L131" s="19" t="n">
        <v>2</v>
      </c>
      <c r="M131" s="17">
        <f>IFERROR(J131*(1+IFERROR(L131,0)/100)*VLOOKUP(B131,'1. Articles (SKUs)'!F:R,13,FALSE),"")</f>
        <v/>
      </c>
      <c r="N131" s="19" t="inlineStr"/>
    </row>
    <row r="132">
      <c r="A132" s="12" t="inlineStr">
        <is>
          <t>FT4</t>
        </is>
      </c>
      <c r="B132" s="12" t="inlineStr">
        <is>
          <t>GPMP72</t>
        </is>
      </c>
      <c r="C132" s="12" t="inlineStr">
        <is>
          <t>CAL KING</t>
        </is>
      </c>
      <c r="D132" s="12" t="inlineStr">
        <is>
          <t>PVC Bag</t>
        </is>
      </c>
      <c r="E132" s="12" t="inlineStr">
        <is>
          <t>Bag material</t>
        </is>
      </c>
      <c r="F132" s="12" t="inlineStr">
        <is>
          <t>12S (Thickness)- Transparent PVC Bag with 7S(Thickness) White PVC White Binding all around seam and 3# Nylon Coil White Zipper(No Hanger Loop on top)</t>
        </is>
      </c>
      <c r="G132" s="12" t="inlineStr"/>
      <c r="H132" s="12" t="inlineStr"/>
      <c r="I132" s="12" t="inlineStr">
        <is>
          <t>Mattress protector</t>
        </is>
      </c>
      <c r="J132" s="20" t="n">
        <v>1</v>
      </c>
      <c r="K132" s="20" t="inlineStr">
        <is>
          <t>pcs</t>
        </is>
      </c>
      <c r="L132" s="19" t="n">
        <v>2</v>
      </c>
      <c r="M132" s="16">
        <f>IFERROR(J132*(1+IFERROR(L132,0)/100)*VLOOKUP(B132,'1. Articles (SKUs)'!F:R,13,FALSE),"")</f>
        <v/>
      </c>
      <c r="N132" s="19" t="inlineStr"/>
    </row>
    <row r="133">
      <c r="A133" s="14" t="inlineStr">
        <is>
          <t>FT4</t>
        </is>
      </c>
      <c r="B133" s="14" t="inlineStr">
        <is>
          <t>GPMP72</t>
        </is>
      </c>
      <c r="C133" s="14" t="inlineStr">
        <is>
          <t>CAL KING</t>
        </is>
      </c>
      <c r="D133" s="14" t="inlineStr">
        <is>
          <t>Insert Card</t>
        </is>
      </c>
      <c r="E133" s="14" t="inlineStr">
        <is>
          <t>Color paper insert material</t>
        </is>
      </c>
      <c r="F133" s="14" t="inlineStr">
        <is>
          <t>Printed Insert quality -  INSERT (“U” Shape) - Insert Material: 250g-300g White Card Paper with Coating both side</t>
        </is>
      </c>
      <c r="G133" s="14" t="inlineStr"/>
      <c r="H133" s="14" t="inlineStr"/>
      <c r="I133" s="14" t="inlineStr">
        <is>
          <t>Mattress protector</t>
        </is>
      </c>
      <c r="J133" s="20" t="n">
        <v>1</v>
      </c>
      <c r="K133" s="20" t="inlineStr">
        <is>
          <t>pcs</t>
        </is>
      </c>
      <c r="L133" s="19" t="n">
        <v>2</v>
      </c>
      <c r="M133" s="17">
        <f>IFERROR(J133*(1+IFERROR(L133,0)/100)*VLOOKUP(B133,'1. Articles (SKUs)'!F:R,13,FALSE),"")</f>
        <v/>
      </c>
      <c r="N133" s="19" t="inlineStr"/>
    </row>
    <row r="134">
      <c r="A134" s="12" t="inlineStr">
        <is>
          <t>FT4</t>
        </is>
      </c>
      <c r="B134" s="12" t="inlineStr">
        <is>
          <t>GPMP72</t>
        </is>
      </c>
      <c r="C134" s="12" t="inlineStr">
        <is>
          <t>CAL KING</t>
        </is>
      </c>
      <c r="D134" s="12" t="inlineStr">
        <is>
          <t>Stiffener</t>
        </is>
      </c>
      <c r="E134" s="12" t="inlineStr">
        <is>
          <t>Cardboard material(Stiffener)</t>
        </is>
      </c>
      <c r="F134" s="12" t="inlineStr">
        <is>
          <t>Packaging inside need to put a “U”  1 ply thickness(1 layers with 1 layer corrugated ) in White Cardboard to maintain the shape before putting into the box</t>
        </is>
      </c>
      <c r="G134" s="12" t="inlineStr"/>
      <c r="H134" s="12" t="inlineStr"/>
      <c r="I134" s="12" t="inlineStr">
        <is>
          <t>Mattress protector</t>
        </is>
      </c>
      <c r="J134" s="20" t="n">
        <v>1</v>
      </c>
      <c r="K134" s="20" t="inlineStr">
        <is>
          <t>pcs</t>
        </is>
      </c>
      <c r="L134" s="19" t="n">
        <v>2</v>
      </c>
      <c r="M134" s="16">
        <f>IFERROR(J134*(1+IFERROR(L134,0)/100)*VLOOKUP(B134,'1. Articles (SKUs)'!F:R,13,FALSE),"")</f>
        <v/>
      </c>
      <c r="N134" s="19" t="inlineStr"/>
    </row>
    <row r="135">
      <c r="A135" s="14" t="inlineStr">
        <is>
          <t>FT4</t>
        </is>
      </c>
      <c r="B135" s="14" t="inlineStr">
        <is>
          <t>GPMP36</t>
        </is>
      </c>
      <c r="C135" s="14" t="inlineStr">
        <is>
          <t>SPLIT CAL KING</t>
        </is>
      </c>
      <c r="D135" s="14" t="inlineStr">
        <is>
          <t>Thread</t>
        </is>
      </c>
      <c r="E135" s="14" t="inlineStr">
        <is>
          <t>Polyester sewing thread</t>
        </is>
      </c>
      <c r="F135" s="14" t="inlineStr">
        <is>
          <t>100% polyester spun</t>
        </is>
      </c>
      <c r="G135" s="14" t="inlineStr">
        <is>
          <t>TEX40 or 40/2</t>
        </is>
      </c>
      <c r="H135" s="14" t="inlineStr">
        <is>
          <t>All seams</t>
        </is>
      </c>
      <c r="I135" s="14" t="inlineStr">
        <is>
          <t>Mattress protector</t>
        </is>
      </c>
      <c r="J135" s="18" t="n"/>
      <c r="K135" s="19" t="inlineStr">
        <is>
          <t>meters</t>
        </is>
      </c>
      <c r="L135" s="19" t="n">
        <v>3</v>
      </c>
      <c r="M135" s="17">
        <f>IFERROR(J135*(1+IFERROR(L135,0)/100)*VLOOKUP(B135,'1. Articles (SKUs)'!F:R,13,FALSE),"")</f>
        <v/>
      </c>
      <c r="N135" s="19" t="inlineStr"/>
    </row>
    <row r="136">
      <c r="A136" s="12" t="inlineStr">
        <is>
          <t>FT4</t>
        </is>
      </c>
      <c r="B136" s="12" t="inlineStr">
        <is>
          <t>GPMP36</t>
        </is>
      </c>
      <c r="C136" s="12" t="inlineStr">
        <is>
          <t>SPLIT CAL KING</t>
        </is>
      </c>
      <c r="D136" s="12" t="inlineStr">
        <is>
          <t>Elastic</t>
        </is>
      </c>
      <c r="E136" s="12" t="inlineStr">
        <is>
          <t>1/8" H Elastic band</t>
        </is>
      </c>
      <c r="F136" s="12" t="inlineStr">
        <is>
          <t>Rubber/polyester</t>
        </is>
      </c>
      <c r="G136" s="12" t="inlineStr">
        <is>
          <t>1/8"</t>
        </is>
      </c>
      <c r="H136" s="12" t="inlineStr">
        <is>
          <t>Around bottom edge</t>
        </is>
      </c>
      <c r="I136" s="12" t="inlineStr">
        <is>
          <t>Mattress protector</t>
        </is>
      </c>
      <c r="J136" s="18" t="n"/>
      <c r="K136" s="19" t="inlineStr">
        <is>
          <t>meters</t>
        </is>
      </c>
      <c r="L136" s="19" t="n">
        <v>3</v>
      </c>
      <c r="M136" s="16">
        <f>IFERROR(J136*(1+IFERROR(L136,0)/100)*VLOOKUP(B136,'1. Articles (SKUs)'!F:R,13,FALSE),"")</f>
        <v/>
      </c>
      <c r="N136" s="19" t="inlineStr"/>
    </row>
    <row r="137">
      <c r="A137" s="14" t="inlineStr">
        <is>
          <t>FT4</t>
        </is>
      </c>
      <c r="B137" s="14" t="inlineStr">
        <is>
          <t>GPMP36</t>
        </is>
      </c>
      <c r="C137" s="14" t="inlineStr">
        <is>
          <t>SPLIT CAL KING</t>
        </is>
      </c>
      <c r="D137" s="14" t="inlineStr">
        <is>
          <t>Law Tag</t>
        </is>
      </c>
      <c r="E137" s="14" t="inlineStr">
        <is>
          <t>Non woven label with coating</t>
        </is>
      </c>
      <c r="F137" s="14" t="inlineStr">
        <is>
          <t>3M non woven material with white ground / black color font  (INK CANNOT DISCOLORATION AND STAIN ON PRODUCT)</t>
        </is>
      </c>
      <c r="G137" s="14" t="inlineStr">
        <is>
          <t>4.0cmX7.0cm</t>
        </is>
      </c>
      <c r="H137" s="14" t="inlineStr">
        <is>
          <t>Position of Law Tag label – Sewing at the middle of short si</t>
        </is>
      </c>
      <c r="I137" s="14" t="inlineStr">
        <is>
          <t>Law tag/Care label</t>
        </is>
      </c>
      <c r="J137" s="20" t="n">
        <v>1</v>
      </c>
      <c r="K137" s="20" t="inlineStr">
        <is>
          <t>pcs</t>
        </is>
      </c>
      <c r="L137" s="19" t="n">
        <v>2</v>
      </c>
      <c r="M137" s="17">
        <f>IFERROR(J137*(1+IFERROR(L137,0)/100)*VLOOKUP(B137,'1. Articles (SKUs)'!F:R,13,FALSE),"")</f>
        <v/>
      </c>
      <c r="N137" s="19" t="inlineStr"/>
    </row>
    <row r="138">
      <c r="A138" s="12" t="inlineStr">
        <is>
          <t>FT4</t>
        </is>
      </c>
      <c r="B138" s="12" t="inlineStr">
        <is>
          <t>GPMP36</t>
        </is>
      </c>
      <c r="C138" s="12" t="inlineStr">
        <is>
          <t>SPLIT CAL KING</t>
        </is>
      </c>
      <c r="D138" s="12" t="inlineStr">
        <is>
          <t>Size Label</t>
        </is>
      </c>
      <c r="E138" s="12" t="inlineStr">
        <is>
          <t>Non woven label with coating</t>
        </is>
      </c>
      <c r="F138" s="12" t="inlineStr">
        <is>
          <t>3M non woven material with white ground / black color font  (INK CANNOT DISCOLORATION AND STAIN ON PRODUCT)</t>
        </is>
      </c>
      <c r="G138" s="12" t="inlineStr">
        <is>
          <t>4.0cmX3.0cm</t>
        </is>
      </c>
      <c r="H138" s="12" t="inlineStr">
        <is>
          <t>Next the law tag label</t>
        </is>
      </c>
      <c r="I138" s="12" t="inlineStr">
        <is>
          <t>Size label</t>
        </is>
      </c>
      <c r="J138" s="20" t="n">
        <v>1</v>
      </c>
      <c r="K138" s="20" t="inlineStr">
        <is>
          <t>pcs</t>
        </is>
      </c>
      <c r="L138" s="19" t="n">
        <v>2</v>
      </c>
      <c r="M138" s="16">
        <f>IFERROR(J138*(1+IFERROR(L138,0)/100)*VLOOKUP(B138,'1. Articles (SKUs)'!F:R,13,FALSE),"")</f>
        <v/>
      </c>
      <c r="N138" s="19" t="inlineStr"/>
    </row>
    <row r="139">
      <c r="A139" s="14" t="inlineStr">
        <is>
          <t>FT4</t>
        </is>
      </c>
      <c r="B139" s="14" t="inlineStr">
        <is>
          <t>GPMP36</t>
        </is>
      </c>
      <c r="C139" s="14" t="inlineStr">
        <is>
          <t>SPLIT CAL KING</t>
        </is>
      </c>
      <c r="D139" s="14" t="inlineStr">
        <is>
          <t>Size Label</t>
        </is>
      </c>
      <c r="E139" s="14" t="inlineStr">
        <is>
          <t>Non woven label with coating</t>
        </is>
      </c>
      <c r="F139" s="14" t="inlineStr">
        <is>
          <t>3M non woven material with white ground / black color font  (INK CANNOT DISCOLORATION AND STAIN ON PRODUCT)</t>
        </is>
      </c>
      <c r="G139" s="14" t="inlineStr">
        <is>
          <t>4.0cmX3.0cm</t>
        </is>
      </c>
      <c r="H139" s="14" t="inlineStr">
        <is>
          <t>Next the law tag label</t>
        </is>
      </c>
      <c r="I139" s="14" t="inlineStr">
        <is>
          <t>Size label</t>
        </is>
      </c>
      <c r="J139" s="20" t="n">
        <v>1</v>
      </c>
      <c r="K139" s="20" t="inlineStr">
        <is>
          <t>pcs</t>
        </is>
      </c>
      <c r="L139" s="19" t="n">
        <v>2</v>
      </c>
      <c r="M139" s="17">
        <f>IFERROR(J139*(1+IFERROR(L139,0)/100)*VLOOKUP(B139,'1. Articles (SKUs)'!F:R,13,FALSE),"")</f>
        <v/>
      </c>
      <c r="N139" s="19" t="inlineStr"/>
    </row>
    <row r="140">
      <c r="A140" s="12" t="inlineStr">
        <is>
          <t>FT4</t>
        </is>
      </c>
      <c r="B140" s="12" t="inlineStr">
        <is>
          <t>GPMP36</t>
        </is>
      </c>
      <c r="C140" s="12" t="inlineStr">
        <is>
          <t>SPLIT CAL KING</t>
        </is>
      </c>
      <c r="D140" s="12" t="inlineStr">
        <is>
          <t>Packaging</t>
        </is>
      </c>
      <c r="E140" s="12" t="inlineStr">
        <is>
          <t>Packaging type</t>
        </is>
      </c>
      <c r="F140" s="12" t="inlineStr">
        <is>
          <t>Color paper insert with vinyl PVC Bag with white bound seam &amp; inside cardboard wrapped by product(Stiffener)</t>
        </is>
      </c>
      <c r="G140" s="12" t="inlineStr"/>
      <c r="H140" s="12" t="inlineStr"/>
      <c r="I140" s="12" t="inlineStr">
        <is>
          <t>Main</t>
        </is>
      </c>
      <c r="J140" s="20" t="n">
        <v>1</v>
      </c>
      <c r="K140" s="20" t="inlineStr">
        <is>
          <t>pcs</t>
        </is>
      </c>
      <c r="L140" s="19" t="n">
        <v>2</v>
      </c>
      <c r="M140" s="16">
        <f>IFERROR(J140*(1+IFERROR(L140,0)/100)*VLOOKUP(B140,'1. Articles (SKUs)'!F:R,13,FALSE),"")</f>
        <v/>
      </c>
      <c r="N140" s="19" t="inlineStr"/>
    </row>
    <row r="141">
      <c r="A141" s="14" t="inlineStr">
        <is>
          <t>FT4</t>
        </is>
      </c>
      <c r="B141" s="14" t="inlineStr">
        <is>
          <t>GPMP36</t>
        </is>
      </c>
      <c r="C141" s="14" t="inlineStr">
        <is>
          <t>SPLIT CAL KING</t>
        </is>
      </c>
      <c r="D141" s="14" t="inlineStr">
        <is>
          <t>PVC Bag</t>
        </is>
      </c>
      <c r="E141" s="14" t="inlineStr">
        <is>
          <t>Bag material</t>
        </is>
      </c>
      <c r="F141" s="14" t="inlineStr">
        <is>
          <t>12S (Thickness)- Transparent PVC Bag with 7S(Thickness) White PVC White Binding all around seam and 3# Nylon Coil White Zipper(No Hanger Loop on top)</t>
        </is>
      </c>
      <c r="G141" s="14" t="inlineStr"/>
      <c r="H141" s="14" t="inlineStr"/>
      <c r="I141" s="14" t="inlineStr">
        <is>
          <t>Mattress protector</t>
        </is>
      </c>
      <c r="J141" s="20" t="n">
        <v>1</v>
      </c>
      <c r="K141" s="20" t="inlineStr">
        <is>
          <t>pcs</t>
        </is>
      </c>
      <c r="L141" s="19" t="n">
        <v>2</v>
      </c>
      <c r="M141" s="17">
        <f>IFERROR(J141*(1+IFERROR(L141,0)/100)*VLOOKUP(B141,'1. Articles (SKUs)'!F:R,13,FALSE),"")</f>
        <v/>
      </c>
      <c r="N141" s="19" t="inlineStr"/>
    </row>
    <row r="142">
      <c r="A142" s="12" t="inlineStr">
        <is>
          <t>FT4</t>
        </is>
      </c>
      <c r="B142" s="12" t="inlineStr">
        <is>
          <t>GPMP36</t>
        </is>
      </c>
      <c r="C142" s="12" t="inlineStr">
        <is>
          <t>SPLIT CAL KING</t>
        </is>
      </c>
      <c r="D142" s="12" t="inlineStr">
        <is>
          <t>Insert Card</t>
        </is>
      </c>
      <c r="E142" s="12" t="inlineStr">
        <is>
          <t>Color paper insert material</t>
        </is>
      </c>
      <c r="F142" s="12" t="inlineStr">
        <is>
          <t>Printed Insert quality -  INSERT (“U” Shape) - Insert Material: 250g-300g White Card Paper with Coating both side</t>
        </is>
      </c>
      <c r="G142" s="12" t="inlineStr"/>
      <c r="H142" s="12" t="inlineStr"/>
      <c r="I142" s="12" t="inlineStr">
        <is>
          <t>Mattress protector</t>
        </is>
      </c>
      <c r="J142" s="20" t="n">
        <v>1</v>
      </c>
      <c r="K142" s="20" t="inlineStr">
        <is>
          <t>pcs</t>
        </is>
      </c>
      <c r="L142" s="19" t="n">
        <v>2</v>
      </c>
      <c r="M142" s="16">
        <f>IFERROR(J142*(1+IFERROR(L142,0)/100)*VLOOKUP(B142,'1. Articles (SKUs)'!F:R,13,FALSE),"")</f>
        <v/>
      </c>
      <c r="N142" s="19" t="inlineStr"/>
    </row>
    <row r="143">
      <c r="A143" s="14" t="inlineStr">
        <is>
          <t>FT4</t>
        </is>
      </c>
      <c r="B143" s="14" t="inlineStr">
        <is>
          <t>GPMP36</t>
        </is>
      </c>
      <c r="C143" s="14" t="inlineStr">
        <is>
          <t>SPLIT CAL KING</t>
        </is>
      </c>
      <c r="D143" s="14" t="inlineStr">
        <is>
          <t>Stiffener</t>
        </is>
      </c>
      <c r="E143" s="14" t="inlineStr">
        <is>
          <t>Cardboard material(Stiffener)</t>
        </is>
      </c>
      <c r="F143" s="14" t="inlineStr">
        <is>
          <t>Packaging inside need to put a “U”  1 ply thickness(1 layers with 1 layer corrugated ) in White Cardboard to maintain the shape before putting into the box</t>
        </is>
      </c>
      <c r="G143" s="14" t="inlineStr"/>
      <c r="H143" s="14" t="inlineStr"/>
      <c r="I143" s="14" t="inlineStr">
        <is>
          <t>Mattress protector</t>
        </is>
      </c>
      <c r="J143" s="20" t="n">
        <v>1</v>
      </c>
      <c r="K143" s="20" t="inlineStr">
        <is>
          <t>pcs</t>
        </is>
      </c>
      <c r="L143" s="19" t="n">
        <v>2</v>
      </c>
      <c r="M143" s="17">
        <f>IFERROR(J143*(1+IFERROR(L143,0)/100)*VLOOKUP(B143,'1. Articles (SKUs)'!F:R,13,FALSE),"")</f>
        <v/>
      </c>
      <c r="N143" s="19" t="inlineStr"/>
    </row>
    <row r="144">
      <c r="A144" s="12" t="inlineStr">
        <is>
          <t>FT4</t>
        </is>
      </c>
      <c r="B144" s="12" t="inlineStr">
        <is>
          <t>GPMP52</t>
        </is>
      </c>
      <c r="C144" s="12" t="inlineStr">
        <is>
          <t>SPLIT HEAD QUEEN</t>
        </is>
      </c>
      <c r="D144" s="12" t="inlineStr">
        <is>
          <t>Thread</t>
        </is>
      </c>
      <c r="E144" s="12" t="inlineStr">
        <is>
          <t>Polyester sewing thread</t>
        </is>
      </c>
      <c r="F144" s="12" t="inlineStr">
        <is>
          <t>100% polyester spun</t>
        </is>
      </c>
      <c r="G144" s="12" t="inlineStr">
        <is>
          <t>TEX40 or 40/2</t>
        </is>
      </c>
      <c r="H144" s="12" t="inlineStr">
        <is>
          <t>All seams</t>
        </is>
      </c>
      <c r="I144" s="12" t="inlineStr">
        <is>
          <t>Mattress protector</t>
        </is>
      </c>
      <c r="J144" s="18" t="n"/>
      <c r="K144" s="19" t="inlineStr">
        <is>
          <t>meters</t>
        </is>
      </c>
      <c r="L144" s="19" t="n">
        <v>3</v>
      </c>
      <c r="M144" s="16">
        <f>IFERROR(J144*(1+IFERROR(L144,0)/100)*VLOOKUP(B144,'1. Articles (SKUs)'!F:R,13,FALSE),"")</f>
        <v/>
      </c>
      <c r="N144" s="19" t="inlineStr"/>
    </row>
    <row r="145">
      <c r="A145" s="14" t="inlineStr">
        <is>
          <t>FT4</t>
        </is>
      </c>
      <c r="B145" s="14" t="inlineStr">
        <is>
          <t>GPMP52</t>
        </is>
      </c>
      <c r="C145" s="14" t="inlineStr">
        <is>
          <t>SPLIT HEAD QUEEN</t>
        </is>
      </c>
      <c r="D145" s="14" t="inlineStr">
        <is>
          <t>Elastic</t>
        </is>
      </c>
      <c r="E145" s="14" t="inlineStr">
        <is>
          <t>1/8" H Elastic band</t>
        </is>
      </c>
      <c r="F145" s="14" t="inlineStr">
        <is>
          <t>Rubber/polyester</t>
        </is>
      </c>
      <c r="G145" s="14" t="inlineStr">
        <is>
          <t>1/8"</t>
        </is>
      </c>
      <c r="H145" s="14" t="inlineStr">
        <is>
          <t>Around bottom edge</t>
        </is>
      </c>
      <c r="I145" s="14" t="inlineStr">
        <is>
          <t>Mattress protector</t>
        </is>
      </c>
      <c r="J145" s="18" t="n"/>
      <c r="K145" s="19" t="inlineStr">
        <is>
          <t>meters</t>
        </is>
      </c>
      <c r="L145" s="19" t="n">
        <v>3</v>
      </c>
      <c r="M145" s="17">
        <f>IFERROR(J145*(1+IFERROR(L145,0)/100)*VLOOKUP(B145,'1. Articles (SKUs)'!F:R,13,FALSE),"")</f>
        <v/>
      </c>
      <c r="N145" s="19" t="inlineStr"/>
    </row>
    <row r="146">
      <c r="A146" s="12" t="inlineStr">
        <is>
          <t>FT4</t>
        </is>
      </c>
      <c r="B146" s="12" t="inlineStr">
        <is>
          <t>GPMP52</t>
        </is>
      </c>
      <c r="C146" s="12" t="inlineStr">
        <is>
          <t>SPLIT HEAD QUEEN</t>
        </is>
      </c>
      <c r="D146" s="12" t="inlineStr">
        <is>
          <t>Law Tag</t>
        </is>
      </c>
      <c r="E146" s="12" t="inlineStr">
        <is>
          <t>Non woven label with coating</t>
        </is>
      </c>
      <c r="F146" s="12" t="inlineStr">
        <is>
          <t>3M non woven material with white ground / black color font  (INK CANNOT DISCOLORATION AND STAIN ON PRODUCT)</t>
        </is>
      </c>
      <c r="G146" s="12" t="inlineStr">
        <is>
          <t>4.0cmX7.0cm</t>
        </is>
      </c>
      <c r="H146" s="12" t="inlineStr">
        <is>
          <t>Position of Law Tag label – Sewing at the middle of short si</t>
        </is>
      </c>
      <c r="I146" s="12" t="inlineStr">
        <is>
          <t>Law tag/Care label</t>
        </is>
      </c>
      <c r="J146" s="20" t="n">
        <v>1</v>
      </c>
      <c r="K146" s="20" t="inlineStr">
        <is>
          <t>pcs</t>
        </is>
      </c>
      <c r="L146" s="19" t="n">
        <v>2</v>
      </c>
      <c r="M146" s="16">
        <f>IFERROR(J146*(1+IFERROR(L146,0)/100)*VLOOKUP(B146,'1. Articles (SKUs)'!F:R,13,FALSE),"")</f>
        <v/>
      </c>
      <c r="N146" s="19" t="inlineStr"/>
    </row>
    <row r="147">
      <c r="A147" s="14" t="inlineStr">
        <is>
          <t>FT4</t>
        </is>
      </c>
      <c r="B147" s="14" t="inlineStr">
        <is>
          <t>GPMP52</t>
        </is>
      </c>
      <c r="C147" s="14" t="inlineStr">
        <is>
          <t>SPLIT HEAD QUEEN</t>
        </is>
      </c>
      <c r="D147" s="14" t="inlineStr">
        <is>
          <t>Size Label</t>
        </is>
      </c>
      <c r="E147" s="14" t="inlineStr">
        <is>
          <t>Non woven label with coating</t>
        </is>
      </c>
      <c r="F147" s="14" t="inlineStr">
        <is>
          <t>3M non woven material with white ground / black color font  (INK CANNOT DISCOLORATION AND STAIN ON PRODUCT)</t>
        </is>
      </c>
      <c r="G147" s="14" t="inlineStr">
        <is>
          <t>4.0cmX3.0cm</t>
        </is>
      </c>
      <c r="H147" s="14" t="inlineStr">
        <is>
          <t>Next the law tag label</t>
        </is>
      </c>
      <c r="I147" s="14" t="inlineStr">
        <is>
          <t>Size label</t>
        </is>
      </c>
      <c r="J147" s="20" t="n">
        <v>1</v>
      </c>
      <c r="K147" s="20" t="inlineStr">
        <is>
          <t>pcs</t>
        </is>
      </c>
      <c r="L147" s="19" t="n">
        <v>2</v>
      </c>
      <c r="M147" s="17">
        <f>IFERROR(J147*(1+IFERROR(L147,0)/100)*VLOOKUP(B147,'1. Articles (SKUs)'!F:R,13,FALSE),"")</f>
        <v/>
      </c>
      <c r="N147" s="19" t="inlineStr"/>
    </row>
    <row r="148">
      <c r="A148" s="12" t="inlineStr">
        <is>
          <t>FT4</t>
        </is>
      </c>
      <c r="B148" s="12" t="inlineStr">
        <is>
          <t>GPMP52</t>
        </is>
      </c>
      <c r="C148" s="12" t="inlineStr">
        <is>
          <t>SPLIT HEAD QUEEN</t>
        </is>
      </c>
      <c r="D148" s="12" t="inlineStr">
        <is>
          <t>Size Label</t>
        </is>
      </c>
      <c r="E148" s="12" t="inlineStr">
        <is>
          <t>Non woven label with coating</t>
        </is>
      </c>
      <c r="F148" s="12" t="inlineStr">
        <is>
          <t>3M non woven material with white ground / black color font  (INK CANNOT DISCOLORATION AND STAIN ON PRODUCT)</t>
        </is>
      </c>
      <c r="G148" s="12" t="inlineStr">
        <is>
          <t>4.0cmX3.0cm</t>
        </is>
      </c>
      <c r="H148" s="12" t="inlineStr">
        <is>
          <t>Next the law tag label</t>
        </is>
      </c>
      <c r="I148" s="12" t="inlineStr">
        <is>
          <t>Size label</t>
        </is>
      </c>
      <c r="J148" s="20" t="n">
        <v>1</v>
      </c>
      <c r="K148" s="20" t="inlineStr">
        <is>
          <t>pcs</t>
        </is>
      </c>
      <c r="L148" s="19" t="n">
        <v>2</v>
      </c>
      <c r="M148" s="16">
        <f>IFERROR(J148*(1+IFERROR(L148,0)/100)*VLOOKUP(B148,'1. Articles (SKUs)'!F:R,13,FALSE),"")</f>
        <v/>
      </c>
      <c r="N148" s="19" t="inlineStr"/>
    </row>
    <row r="149">
      <c r="A149" s="14" t="inlineStr">
        <is>
          <t>FT4</t>
        </is>
      </c>
      <c r="B149" s="14" t="inlineStr">
        <is>
          <t>GPMP52</t>
        </is>
      </c>
      <c r="C149" s="14" t="inlineStr">
        <is>
          <t>SPLIT HEAD QUEEN</t>
        </is>
      </c>
      <c r="D149" s="14" t="inlineStr">
        <is>
          <t>Packaging</t>
        </is>
      </c>
      <c r="E149" s="14" t="inlineStr">
        <is>
          <t>Packaging type</t>
        </is>
      </c>
      <c r="F149" s="14" t="inlineStr">
        <is>
          <t>Color paper insert with vinyl PVC Bag with white bound seam &amp; inside cardboard wrapped by product(Stiffener)</t>
        </is>
      </c>
      <c r="G149" s="14" t="inlineStr"/>
      <c r="H149" s="14" t="inlineStr"/>
      <c r="I149" s="14" t="inlineStr">
        <is>
          <t>Main</t>
        </is>
      </c>
      <c r="J149" s="20" t="n">
        <v>1</v>
      </c>
      <c r="K149" s="20" t="inlineStr">
        <is>
          <t>pcs</t>
        </is>
      </c>
      <c r="L149" s="19" t="n">
        <v>2</v>
      </c>
      <c r="M149" s="17">
        <f>IFERROR(J149*(1+IFERROR(L149,0)/100)*VLOOKUP(B149,'1. Articles (SKUs)'!F:R,13,FALSE),"")</f>
        <v/>
      </c>
      <c r="N149" s="19" t="inlineStr"/>
    </row>
    <row r="150">
      <c r="A150" s="12" t="inlineStr">
        <is>
          <t>FT4</t>
        </is>
      </c>
      <c r="B150" s="12" t="inlineStr">
        <is>
          <t>GPMP52</t>
        </is>
      </c>
      <c r="C150" s="12" t="inlineStr">
        <is>
          <t>SPLIT HEAD QUEEN</t>
        </is>
      </c>
      <c r="D150" s="12" t="inlineStr">
        <is>
          <t>PVC Bag</t>
        </is>
      </c>
      <c r="E150" s="12" t="inlineStr">
        <is>
          <t>Bag material</t>
        </is>
      </c>
      <c r="F150" s="12" t="inlineStr">
        <is>
          <t>12S (Thickness)- Transparent PVC Bag with 7S(Thickness) White PVC White Binding all around seam and 3# Nylon Coil White Zipper(No Hanger Loop on top)</t>
        </is>
      </c>
      <c r="G150" s="12" t="inlineStr"/>
      <c r="H150" s="12" t="inlineStr"/>
      <c r="I150" s="12" t="inlineStr">
        <is>
          <t>Mattress protector</t>
        </is>
      </c>
      <c r="J150" s="20" t="n">
        <v>1</v>
      </c>
      <c r="K150" s="20" t="inlineStr">
        <is>
          <t>pcs</t>
        </is>
      </c>
      <c r="L150" s="19" t="n">
        <v>2</v>
      </c>
      <c r="M150" s="16">
        <f>IFERROR(J150*(1+IFERROR(L150,0)/100)*VLOOKUP(B150,'1. Articles (SKUs)'!F:R,13,FALSE),"")</f>
        <v/>
      </c>
      <c r="N150" s="19" t="inlineStr"/>
    </row>
    <row r="151">
      <c r="A151" s="14" t="inlineStr">
        <is>
          <t>FT4</t>
        </is>
      </c>
      <c r="B151" s="14" t="inlineStr">
        <is>
          <t>GPMP52</t>
        </is>
      </c>
      <c r="C151" s="14" t="inlineStr">
        <is>
          <t>SPLIT HEAD QUEEN</t>
        </is>
      </c>
      <c r="D151" s="14" t="inlineStr">
        <is>
          <t>Insert Card</t>
        </is>
      </c>
      <c r="E151" s="14" t="inlineStr">
        <is>
          <t>Color paper insert material</t>
        </is>
      </c>
      <c r="F151" s="14" t="inlineStr">
        <is>
          <t>Printed Insert quality -  INSERT (“U” Shape) - Insert Material: 250g-300g White Card Paper with Coating both side</t>
        </is>
      </c>
      <c r="G151" s="14" t="inlineStr"/>
      <c r="H151" s="14" t="inlineStr"/>
      <c r="I151" s="14" t="inlineStr">
        <is>
          <t>Mattress protector</t>
        </is>
      </c>
      <c r="J151" s="20" t="n">
        <v>1</v>
      </c>
      <c r="K151" s="20" t="inlineStr">
        <is>
          <t>pcs</t>
        </is>
      </c>
      <c r="L151" s="19" t="n">
        <v>2</v>
      </c>
      <c r="M151" s="17">
        <f>IFERROR(J151*(1+IFERROR(L151,0)/100)*VLOOKUP(B151,'1. Articles (SKUs)'!F:R,13,FALSE),"")</f>
        <v/>
      </c>
      <c r="N151" s="19" t="inlineStr"/>
    </row>
    <row r="152">
      <c r="A152" s="12" t="inlineStr">
        <is>
          <t>FT4</t>
        </is>
      </c>
      <c r="B152" s="12" t="inlineStr">
        <is>
          <t>GPMP52</t>
        </is>
      </c>
      <c r="C152" s="12" t="inlineStr">
        <is>
          <t>SPLIT HEAD QUEEN</t>
        </is>
      </c>
      <c r="D152" s="12" t="inlineStr">
        <is>
          <t>Stiffener</t>
        </is>
      </c>
      <c r="E152" s="12" t="inlineStr">
        <is>
          <t>Cardboard material(Stiffener)</t>
        </is>
      </c>
      <c r="F152" s="12" t="inlineStr">
        <is>
          <t>Packaging inside need to put a “U”  1 ply thickness(1 layers with 1 layer corrugated ) in White Cardboard to maintain the shape before putting into the box</t>
        </is>
      </c>
      <c r="G152" s="12" t="inlineStr"/>
      <c r="H152" s="12" t="inlineStr"/>
      <c r="I152" s="12" t="inlineStr">
        <is>
          <t>Mattress protector</t>
        </is>
      </c>
      <c r="J152" s="20" t="n">
        <v>1</v>
      </c>
      <c r="K152" s="20" t="inlineStr">
        <is>
          <t>pcs</t>
        </is>
      </c>
      <c r="L152" s="19" t="n">
        <v>2</v>
      </c>
      <c r="M152" s="16">
        <f>IFERROR(J152*(1+IFERROR(L152,0)/100)*VLOOKUP(B152,'1. Articles (SKUs)'!F:R,13,FALSE),"")</f>
        <v/>
      </c>
      <c r="N152" s="19" t="inlineStr"/>
    </row>
    <row r="153">
      <c r="A153" s="14" t="inlineStr">
        <is>
          <t>FT4</t>
        </is>
      </c>
      <c r="B153" s="14" t="inlineStr">
        <is>
          <t>GPMP79</t>
        </is>
      </c>
      <c r="C153" s="14" t="inlineStr">
        <is>
          <t>SPLIT HEAD KING</t>
        </is>
      </c>
      <c r="D153" s="14" t="inlineStr">
        <is>
          <t>Thread</t>
        </is>
      </c>
      <c r="E153" s="14" t="inlineStr">
        <is>
          <t>Polyester sewing thread</t>
        </is>
      </c>
      <c r="F153" s="14" t="inlineStr">
        <is>
          <t>100% polyester spun</t>
        </is>
      </c>
      <c r="G153" s="14" t="inlineStr">
        <is>
          <t>TEX40 or 40/2</t>
        </is>
      </c>
      <c r="H153" s="14" t="inlineStr">
        <is>
          <t>All seams</t>
        </is>
      </c>
      <c r="I153" s="14" t="inlineStr">
        <is>
          <t>Mattress protector</t>
        </is>
      </c>
      <c r="J153" s="18" t="n"/>
      <c r="K153" s="19" t="inlineStr">
        <is>
          <t>meters</t>
        </is>
      </c>
      <c r="L153" s="19" t="n">
        <v>3</v>
      </c>
      <c r="M153" s="17">
        <f>IFERROR(J153*(1+IFERROR(L153,0)/100)*VLOOKUP(B153,'1. Articles (SKUs)'!F:R,13,FALSE),"")</f>
        <v/>
      </c>
      <c r="N153" s="19" t="inlineStr"/>
    </row>
    <row r="154">
      <c r="A154" s="12" t="inlineStr">
        <is>
          <t>FT4</t>
        </is>
      </c>
      <c r="B154" s="12" t="inlineStr">
        <is>
          <t>GPMP79</t>
        </is>
      </c>
      <c r="C154" s="12" t="inlineStr">
        <is>
          <t>SPLIT HEAD KING</t>
        </is>
      </c>
      <c r="D154" s="12" t="inlineStr">
        <is>
          <t>Elastic</t>
        </is>
      </c>
      <c r="E154" s="12" t="inlineStr">
        <is>
          <t>1/8" H Elastic band</t>
        </is>
      </c>
      <c r="F154" s="12" t="inlineStr">
        <is>
          <t>Rubber/polyester</t>
        </is>
      </c>
      <c r="G154" s="12" t="inlineStr">
        <is>
          <t>1/8"</t>
        </is>
      </c>
      <c r="H154" s="12" t="inlineStr">
        <is>
          <t>Around bottom edge</t>
        </is>
      </c>
      <c r="I154" s="12" t="inlineStr">
        <is>
          <t>Mattress protector</t>
        </is>
      </c>
      <c r="J154" s="18" t="n"/>
      <c r="K154" s="19" t="inlineStr">
        <is>
          <t>meters</t>
        </is>
      </c>
      <c r="L154" s="19" t="n">
        <v>3</v>
      </c>
      <c r="M154" s="16">
        <f>IFERROR(J154*(1+IFERROR(L154,0)/100)*VLOOKUP(B154,'1. Articles (SKUs)'!F:R,13,FALSE),"")</f>
        <v/>
      </c>
      <c r="N154" s="19" t="inlineStr"/>
    </row>
    <row r="155">
      <c r="A155" s="14" t="inlineStr">
        <is>
          <t>FT4</t>
        </is>
      </c>
      <c r="B155" s="14" t="inlineStr">
        <is>
          <t>GPMP79</t>
        </is>
      </c>
      <c r="C155" s="14" t="inlineStr">
        <is>
          <t>SPLIT HEAD KING</t>
        </is>
      </c>
      <c r="D155" s="14" t="inlineStr">
        <is>
          <t>Law Tag</t>
        </is>
      </c>
      <c r="E155" s="14" t="inlineStr">
        <is>
          <t>Non woven label with coating</t>
        </is>
      </c>
      <c r="F155" s="14" t="inlineStr">
        <is>
          <t>3M non woven material with white ground / black color font  (INK CANNOT DISCOLORATION AND STAIN ON PRODUCT)</t>
        </is>
      </c>
      <c r="G155" s="14" t="inlineStr">
        <is>
          <t>4.0cmX7.0cm</t>
        </is>
      </c>
      <c r="H155" s="14" t="inlineStr">
        <is>
          <t>Position of Law Tag label – Sewing at the middle of short si</t>
        </is>
      </c>
      <c r="I155" s="14" t="inlineStr">
        <is>
          <t>Law tag/Care label</t>
        </is>
      </c>
      <c r="J155" s="20" t="n">
        <v>1</v>
      </c>
      <c r="K155" s="20" t="inlineStr">
        <is>
          <t>pcs</t>
        </is>
      </c>
      <c r="L155" s="19" t="n">
        <v>2</v>
      </c>
      <c r="M155" s="17">
        <f>IFERROR(J155*(1+IFERROR(L155,0)/100)*VLOOKUP(B155,'1. Articles (SKUs)'!F:R,13,FALSE),"")</f>
        <v/>
      </c>
      <c r="N155" s="19" t="inlineStr"/>
    </row>
    <row r="156">
      <c r="A156" s="12" t="inlineStr">
        <is>
          <t>FT4</t>
        </is>
      </c>
      <c r="B156" s="12" t="inlineStr">
        <is>
          <t>GPMP79</t>
        </is>
      </c>
      <c r="C156" s="12" t="inlineStr">
        <is>
          <t>SPLIT HEAD KING</t>
        </is>
      </c>
      <c r="D156" s="12" t="inlineStr">
        <is>
          <t>Size Label</t>
        </is>
      </c>
      <c r="E156" s="12" t="inlineStr">
        <is>
          <t>Non woven label with coating</t>
        </is>
      </c>
      <c r="F156" s="12" t="inlineStr">
        <is>
          <t>3M non woven material with white ground / black color font  (INK CANNOT DISCOLORATION AND STAIN ON PRODUCT)</t>
        </is>
      </c>
      <c r="G156" s="12" t="inlineStr">
        <is>
          <t>4.0cmX3.0cm</t>
        </is>
      </c>
      <c r="H156" s="12" t="inlineStr">
        <is>
          <t>Next the law tag label</t>
        </is>
      </c>
      <c r="I156" s="12" t="inlineStr">
        <is>
          <t>Size label</t>
        </is>
      </c>
      <c r="J156" s="20" t="n">
        <v>1</v>
      </c>
      <c r="K156" s="20" t="inlineStr">
        <is>
          <t>pcs</t>
        </is>
      </c>
      <c r="L156" s="19" t="n">
        <v>2</v>
      </c>
      <c r="M156" s="16">
        <f>IFERROR(J156*(1+IFERROR(L156,0)/100)*VLOOKUP(B156,'1. Articles (SKUs)'!F:R,13,FALSE),"")</f>
        <v/>
      </c>
      <c r="N156" s="19" t="inlineStr"/>
    </row>
    <row r="157">
      <c r="A157" s="14" t="inlineStr">
        <is>
          <t>FT4</t>
        </is>
      </c>
      <c r="B157" s="14" t="inlineStr">
        <is>
          <t>GPMP79</t>
        </is>
      </c>
      <c r="C157" s="14" t="inlineStr">
        <is>
          <t>SPLIT HEAD KING</t>
        </is>
      </c>
      <c r="D157" s="14" t="inlineStr">
        <is>
          <t>Size Label</t>
        </is>
      </c>
      <c r="E157" s="14" t="inlineStr">
        <is>
          <t>Non woven label with coating</t>
        </is>
      </c>
      <c r="F157" s="14" t="inlineStr">
        <is>
          <t>3M non woven material with white ground / black color font  (INK CANNOT DISCOLORATION AND STAIN ON PRODUCT)</t>
        </is>
      </c>
      <c r="G157" s="14" t="inlineStr">
        <is>
          <t>4.0cmX3.0cm</t>
        </is>
      </c>
      <c r="H157" s="14" t="inlineStr">
        <is>
          <t>Next the law tag label</t>
        </is>
      </c>
      <c r="I157" s="14" t="inlineStr">
        <is>
          <t>Size label</t>
        </is>
      </c>
      <c r="J157" s="20" t="n">
        <v>1</v>
      </c>
      <c r="K157" s="20" t="inlineStr">
        <is>
          <t>pcs</t>
        </is>
      </c>
      <c r="L157" s="19" t="n">
        <v>2</v>
      </c>
      <c r="M157" s="17">
        <f>IFERROR(J157*(1+IFERROR(L157,0)/100)*VLOOKUP(B157,'1. Articles (SKUs)'!F:R,13,FALSE),"")</f>
        <v/>
      </c>
      <c r="N157" s="19" t="inlineStr"/>
    </row>
    <row r="158">
      <c r="A158" s="12" t="inlineStr">
        <is>
          <t>FT4</t>
        </is>
      </c>
      <c r="B158" s="12" t="inlineStr">
        <is>
          <t>GPMP79</t>
        </is>
      </c>
      <c r="C158" s="12" t="inlineStr">
        <is>
          <t>SPLIT HEAD KING</t>
        </is>
      </c>
      <c r="D158" s="12" t="inlineStr">
        <is>
          <t>Packaging</t>
        </is>
      </c>
      <c r="E158" s="12" t="inlineStr">
        <is>
          <t>Packaging type</t>
        </is>
      </c>
      <c r="F158" s="12" t="inlineStr">
        <is>
          <t>Color paper insert with vinyl PVC Bag with white bound seam &amp; inside cardboard wrapped by product(Stiffener)</t>
        </is>
      </c>
      <c r="G158" s="12" t="inlineStr"/>
      <c r="H158" s="12" t="inlineStr"/>
      <c r="I158" s="12" t="inlineStr">
        <is>
          <t>Main</t>
        </is>
      </c>
      <c r="J158" s="20" t="n">
        <v>1</v>
      </c>
      <c r="K158" s="20" t="inlineStr">
        <is>
          <t>pcs</t>
        </is>
      </c>
      <c r="L158" s="19" t="n">
        <v>2</v>
      </c>
      <c r="M158" s="16">
        <f>IFERROR(J158*(1+IFERROR(L158,0)/100)*VLOOKUP(B158,'1. Articles (SKUs)'!F:R,13,FALSE),"")</f>
        <v/>
      </c>
      <c r="N158" s="19" t="inlineStr"/>
    </row>
    <row r="159">
      <c r="A159" s="14" t="inlineStr">
        <is>
          <t>FT4</t>
        </is>
      </c>
      <c r="B159" s="14" t="inlineStr">
        <is>
          <t>GPMP79</t>
        </is>
      </c>
      <c r="C159" s="14" t="inlineStr">
        <is>
          <t>SPLIT HEAD KING</t>
        </is>
      </c>
      <c r="D159" s="14" t="inlineStr">
        <is>
          <t>PVC Bag</t>
        </is>
      </c>
      <c r="E159" s="14" t="inlineStr">
        <is>
          <t>Bag material</t>
        </is>
      </c>
      <c r="F159" s="14" t="inlineStr">
        <is>
          <t>12S (Thickness)- Transparent PVC Bag with 7S(Thickness) White PVC White Binding all around seam and 3# Nylon Coil White Zipper(No Hanger Loop on top)</t>
        </is>
      </c>
      <c r="G159" s="14" t="inlineStr"/>
      <c r="H159" s="14" t="inlineStr"/>
      <c r="I159" s="14" t="inlineStr">
        <is>
          <t>Mattress protector</t>
        </is>
      </c>
      <c r="J159" s="20" t="n">
        <v>1</v>
      </c>
      <c r="K159" s="20" t="inlineStr">
        <is>
          <t>pcs</t>
        </is>
      </c>
      <c r="L159" s="19" t="n">
        <v>2</v>
      </c>
      <c r="M159" s="17">
        <f>IFERROR(J159*(1+IFERROR(L159,0)/100)*VLOOKUP(B159,'1. Articles (SKUs)'!F:R,13,FALSE),"")</f>
        <v/>
      </c>
      <c r="N159" s="19" t="inlineStr"/>
    </row>
    <row r="160">
      <c r="A160" s="12" t="inlineStr">
        <is>
          <t>FT4</t>
        </is>
      </c>
      <c r="B160" s="12" t="inlineStr">
        <is>
          <t>GPMP79</t>
        </is>
      </c>
      <c r="C160" s="12" t="inlineStr">
        <is>
          <t>SPLIT HEAD KING</t>
        </is>
      </c>
      <c r="D160" s="12" t="inlineStr">
        <is>
          <t>Insert Card</t>
        </is>
      </c>
      <c r="E160" s="12" t="inlineStr">
        <is>
          <t>Color paper insert material</t>
        </is>
      </c>
      <c r="F160" s="12" t="inlineStr">
        <is>
          <t>Printed Insert quality -  INSERT (“U” Shape) - Insert Material: 250g-300g White Card Paper with Coating both side</t>
        </is>
      </c>
      <c r="G160" s="12" t="inlineStr"/>
      <c r="H160" s="12" t="inlineStr"/>
      <c r="I160" s="12" t="inlineStr">
        <is>
          <t>Mattress protector</t>
        </is>
      </c>
      <c r="J160" s="20" t="n">
        <v>1</v>
      </c>
      <c r="K160" s="20" t="inlineStr">
        <is>
          <t>pcs</t>
        </is>
      </c>
      <c r="L160" s="19" t="n">
        <v>2</v>
      </c>
      <c r="M160" s="16">
        <f>IFERROR(J160*(1+IFERROR(L160,0)/100)*VLOOKUP(B160,'1. Articles (SKUs)'!F:R,13,FALSE),"")</f>
        <v/>
      </c>
      <c r="N160" s="19" t="inlineStr"/>
    </row>
    <row r="161">
      <c r="A161" s="14" t="inlineStr">
        <is>
          <t>FT4</t>
        </is>
      </c>
      <c r="B161" s="14" t="inlineStr">
        <is>
          <t>GPMP79</t>
        </is>
      </c>
      <c r="C161" s="14" t="inlineStr">
        <is>
          <t>SPLIT HEAD KING</t>
        </is>
      </c>
      <c r="D161" s="14" t="inlineStr">
        <is>
          <t>Stiffener</t>
        </is>
      </c>
      <c r="E161" s="14" t="inlineStr">
        <is>
          <t>Cardboard material(Stiffener)</t>
        </is>
      </c>
      <c r="F161" s="14" t="inlineStr">
        <is>
          <t>Packaging inside need to put a “U”  1 ply thickness(1 layers with 1 layer corrugated ) in White Cardboard to maintain the shape before putting into the box</t>
        </is>
      </c>
      <c r="G161" s="14" t="inlineStr"/>
      <c r="H161" s="14" t="inlineStr"/>
      <c r="I161" s="14" t="inlineStr">
        <is>
          <t>Mattress protector</t>
        </is>
      </c>
      <c r="J161" s="20" t="n">
        <v>1</v>
      </c>
      <c r="K161" s="20" t="inlineStr">
        <is>
          <t>pcs</t>
        </is>
      </c>
      <c r="L161" s="19" t="n">
        <v>2</v>
      </c>
      <c r="M161" s="17">
        <f>IFERROR(J161*(1+IFERROR(L161,0)/100)*VLOOKUP(B161,'1. Articles (SKUs)'!F:R,13,FALSE),"")</f>
        <v/>
      </c>
      <c r="N161" s="19" t="inlineStr"/>
    </row>
    <row r="162">
      <c r="A162" s="12" t="inlineStr">
        <is>
          <t>FT9</t>
        </is>
      </c>
      <c r="B162" s="12" t="inlineStr">
        <is>
          <t>GPTE33</t>
        </is>
      </c>
      <c r="C162" s="12" t="inlineStr">
        <is>
          <t>TWIN</t>
        </is>
      </c>
      <c r="D162" s="12" t="inlineStr">
        <is>
          <t>Zipper</t>
        </is>
      </c>
      <c r="E162" s="12" t="inlineStr">
        <is>
          <t>Nylon coil zipper #3</t>
        </is>
      </c>
      <c r="F162" s="12" t="inlineStr">
        <is>
          <t>Nylon</t>
        </is>
      </c>
      <c r="G162" s="12" t="inlineStr">
        <is>
          <t>4.05m per piece</t>
        </is>
      </c>
      <c r="H162" s="12" t="inlineStr">
        <is>
          <t>Around encasement perimeter</t>
        </is>
      </c>
      <c r="I162" s="12" t="inlineStr">
        <is>
          <t>Mattress protector</t>
        </is>
      </c>
      <c r="J162" s="20" t="n">
        <v>4.05</v>
      </c>
      <c r="K162" s="19" t="inlineStr">
        <is>
          <t>meters</t>
        </is>
      </c>
      <c r="L162" s="19" t="n">
        <v>2</v>
      </c>
      <c r="M162" s="16">
        <f>IFERROR(J162*(1+IFERROR(L162,0)/100)*VLOOKUP(B162,'1. Articles (SKUs)'!F:R,13,FALSE),"")</f>
        <v/>
      </c>
      <c r="N162" s="19" t="inlineStr"/>
    </row>
    <row r="163">
      <c r="A163" s="14" t="inlineStr">
        <is>
          <t>FT9</t>
        </is>
      </c>
      <c r="B163" s="14" t="inlineStr">
        <is>
          <t>GPTE33</t>
        </is>
      </c>
      <c r="C163" s="14" t="inlineStr">
        <is>
          <t>TWIN</t>
        </is>
      </c>
      <c r="D163" s="14" t="inlineStr">
        <is>
          <t>Thread</t>
        </is>
      </c>
      <c r="E163" s="14" t="inlineStr">
        <is>
          <t>Polyester sewing thread</t>
        </is>
      </c>
      <c r="F163" s="14" t="inlineStr">
        <is>
          <t>100% polyester spun</t>
        </is>
      </c>
      <c r="G163" s="14" t="inlineStr">
        <is>
          <t>TEX40 or 40/2</t>
        </is>
      </c>
      <c r="H163" s="14" t="inlineStr">
        <is>
          <t>All seams</t>
        </is>
      </c>
      <c r="I163" s="14" t="inlineStr">
        <is>
          <t>Mattress protector</t>
        </is>
      </c>
      <c r="J163" s="18" t="n"/>
      <c r="K163" s="19" t="inlineStr">
        <is>
          <t>meters</t>
        </is>
      </c>
      <c r="L163" s="19" t="n">
        <v>3</v>
      </c>
      <c r="M163" s="17">
        <f>IFERROR(J163*(1+IFERROR(L163,0)/100)*VLOOKUP(B163,'1. Articles (SKUs)'!F:R,13,FALSE),"")</f>
        <v/>
      </c>
      <c r="N163" s="19" t="inlineStr"/>
    </row>
    <row r="164">
      <c r="A164" s="12" t="inlineStr">
        <is>
          <t>FT9</t>
        </is>
      </c>
      <c r="B164" s="12" t="inlineStr">
        <is>
          <t>GPTE33</t>
        </is>
      </c>
      <c r="C164" s="12" t="inlineStr">
        <is>
          <t>TWIN</t>
        </is>
      </c>
      <c r="D164" s="12" t="inlineStr">
        <is>
          <t>Law Tag</t>
        </is>
      </c>
      <c r="E164" s="12" t="inlineStr">
        <is>
          <t>Non woven label with coating</t>
        </is>
      </c>
      <c r="F164" s="12" t="inlineStr">
        <is>
          <t>3M non woven material with white ground / black color font  (INK CANNOT DISCOLORATION AND STAIN ON PRODUCT)</t>
        </is>
      </c>
      <c r="G164" s="12" t="inlineStr">
        <is>
          <t>4.0cmX7.0cm</t>
        </is>
      </c>
      <c r="H164" s="12" t="inlineStr">
        <is>
          <t>Position of Law Tag label – Sewing at the middle of short si</t>
        </is>
      </c>
      <c r="I164" s="12" t="inlineStr">
        <is>
          <t>Law tag/Care label</t>
        </is>
      </c>
      <c r="J164" s="20" t="n">
        <v>1</v>
      </c>
      <c r="K164" s="20" t="inlineStr">
        <is>
          <t>pcs</t>
        </is>
      </c>
      <c r="L164" s="19" t="n">
        <v>2</v>
      </c>
      <c r="M164" s="16">
        <f>IFERROR(J164*(1+IFERROR(L164,0)/100)*VLOOKUP(B164,'1. Articles (SKUs)'!F:R,13,FALSE),"")</f>
        <v/>
      </c>
      <c r="N164" s="19" t="inlineStr"/>
    </row>
    <row r="165">
      <c r="A165" s="14" t="inlineStr">
        <is>
          <t>FT9</t>
        </is>
      </c>
      <c r="B165" s="14" t="inlineStr">
        <is>
          <t>GPTE33</t>
        </is>
      </c>
      <c r="C165" s="14" t="inlineStr">
        <is>
          <t>TWIN</t>
        </is>
      </c>
      <c r="D165" s="14" t="inlineStr">
        <is>
          <t>Size Label</t>
        </is>
      </c>
      <c r="E165" s="14" t="inlineStr">
        <is>
          <t>Non woven label with coating</t>
        </is>
      </c>
      <c r="F165" s="14" t="inlineStr">
        <is>
          <t>3M non woven material with white ground / black color font  (INK CANNOT DISCOLORATION AND STAIN ON PRODUCT)</t>
        </is>
      </c>
      <c r="G165" s="14" t="inlineStr">
        <is>
          <t>4.0cmX3.0cm</t>
        </is>
      </c>
      <c r="H165" s="14" t="inlineStr">
        <is>
          <t>Next the law tag label</t>
        </is>
      </c>
      <c r="I165" s="14" t="inlineStr">
        <is>
          <t>Size label</t>
        </is>
      </c>
      <c r="J165" s="20" t="n">
        <v>1</v>
      </c>
      <c r="K165" s="20" t="inlineStr">
        <is>
          <t>pcs</t>
        </is>
      </c>
      <c r="L165" s="19" t="n">
        <v>2</v>
      </c>
      <c r="M165" s="17">
        <f>IFERROR(J165*(1+IFERROR(L165,0)/100)*VLOOKUP(B165,'1. Articles (SKUs)'!F:R,13,FALSE),"")</f>
        <v/>
      </c>
      <c r="N165" s="19" t="inlineStr"/>
    </row>
    <row r="166">
      <c r="A166" s="12" t="inlineStr">
        <is>
          <t>FT9</t>
        </is>
      </c>
      <c r="B166" s="12" t="inlineStr">
        <is>
          <t>GPTE33</t>
        </is>
      </c>
      <c r="C166" s="12" t="inlineStr">
        <is>
          <t>TWIN</t>
        </is>
      </c>
      <c r="D166" s="12" t="inlineStr">
        <is>
          <t>Packaging</t>
        </is>
      </c>
      <c r="E166" s="12" t="inlineStr">
        <is>
          <t>Packaging type</t>
        </is>
      </c>
      <c r="F166" s="12" t="inlineStr">
        <is>
          <t>Color paper insert with vinyl PVC Bag with white bound seam &amp; inside cardboard wrapped by product(Stiffener)</t>
        </is>
      </c>
      <c r="G166" s="12" t="inlineStr"/>
      <c r="H166" s="12" t="inlineStr"/>
      <c r="I166" s="12" t="inlineStr">
        <is>
          <t>Main</t>
        </is>
      </c>
      <c r="J166" s="20" t="n">
        <v>1</v>
      </c>
      <c r="K166" s="20" t="inlineStr">
        <is>
          <t>pcs</t>
        </is>
      </c>
      <c r="L166" s="19" t="n">
        <v>2</v>
      </c>
      <c r="M166" s="16">
        <f>IFERROR(J166*(1+IFERROR(L166,0)/100)*VLOOKUP(B166,'1. Articles (SKUs)'!F:R,13,FALSE),"")</f>
        <v/>
      </c>
      <c r="N166" s="19" t="inlineStr"/>
    </row>
    <row r="167">
      <c r="A167" s="14" t="inlineStr">
        <is>
          <t>FT9</t>
        </is>
      </c>
      <c r="B167" s="14" t="inlineStr">
        <is>
          <t>GPTE33</t>
        </is>
      </c>
      <c r="C167" s="14" t="inlineStr">
        <is>
          <t>TWIN</t>
        </is>
      </c>
      <c r="D167" s="14" t="inlineStr">
        <is>
          <t>PVC Bag</t>
        </is>
      </c>
      <c r="E167" s="14" t="inlineStr">
        <is>
          <t>Bag material</t>
        </is>
      </c>
      <c r="F167" s="14" t="inlineStr">
        <is>
          <t>12S (Thickness)- Transparent PVC Bag with 7S(Thickness) White PVC White Binding all around seam and 3# Nylon Coil White Zipper(No Hanger Loop on top)</t>
        </is>
      </c>
      <c r="G167" s="14" t="inlineStr"/>
      <c r="H167" s="14" t="inlineStr"/>
      <c r="I167" s="14" t="inlineStr">
        <is>
          <t>Mattress protector</t>
        </is>
      </c>
      <c r="J167" s="20" t="n">
        <v>1</v>
      </c>
      <c r="K167" s="20" t="inlineStr">
        <is>
          <t>pcs</t>
        </is>
      </c>
      <c r="L167" s="19" t="n">
        <v>2</v>
      </c>
      <c r="M167" s="17">
        <f>IFERROR(J167*(1+IFERROR(L167,0)/100)*VLOOKUP(B167,'1. Articles (SKUs)'!F:R,13,FALSE),"")</f>
        <v/>
      </c>
      <c r="N167" s="19" t="inlineStr"/>
    </row>
    <row r="168">
      <c r="A168" s="12" t="inlineStr">
        <is>
          <t>FT9</t>
        </is>
      </c>
      <c r="B168" s="12" t="inlineStr">
        <is>
          <t>GPTE33</t>
        </is>
      </c>
      <c r="C168" s="12" t="inlineStr">
        <is>
          <t>TWIN</t>
        </is>
      </c>
      <c r="D168" s="12" t="inlineStr">
        <is>
          <t>Insert Card</t>
        </is>
      </c>
      <c r="E168" s="12" t="inlineStr">
        <is>
          <t>Color paper insert material</t>
        </is>
      </c>
      <c r="F168" s="12" t="inlineStr">
        <is>
          <t>Printed Insert quality -  INSERT (“U” Shape) - Insert Material: 250g-300g White Card Paper with Coating both side</t>
        </is>
      </c>
      <c r="G168" s="12" t="inlineStr"/>
      <c r="H168" s="12" t="inlineStr"/>
      <c r="I168" s="12" t="inlineStr">
        <is>
          <t>Mattress protector</t>
        </is>
      </c>
      <c r="J168" s="20" t="n">
        <v>1</v>
      </c>
      <c r="K168" s="20" t="inlineStr">
        <is>
          <t>pcs</t>
        </is>
      </c>
      <c r="L168" s="19" t="n">
        <v>2</v>
      </c>
      <c r="M168" s="16">
        <f>IFERROR(J168*(1+IFERROR(L168,0)/100)*VLOOKUP(B168,'1. Articles (SKUs)'!F:R,13,FALSE),"")</f>
        <v/>
      </c>
      <c r="N168" s="19" t="inlineStr"/>
    </row>
    <row r="169">
      <c r="A169" s="14" t="inlineStr">
        <is>
          <t>FT9</t>
        </is>
      </c>
      <c r="B169" s="14" t="inlineStr">
        <is>
          <t>GPTE33</t>
        </is>
      </c>
      <c r="C169" s="14" t="inlineStr">
        <is>
          <t>TWIN</t>
        </is>
      </c>
      <c r="D169" s="14" t="inlineStr">
        <is>
          <t>Stiffener</t>
        </is>
      </c>
      <c r="E169" s="14" t="inlineStr">
        <is>
          <t>Cardboard material(Stiffener)</t>
        </is>
      </c>
      <c r="F169" s="14" t="inlineStr">
        <is>
          <t>Packaging inside need to put a “U”  1 ply thickness(1 layers with 1 layer corrugated ) in White Cardboard to maintain the shape before putting into the box</t>
        </is>
      </c>
      <c r="G169" s="14" t="inlineStr"/>
      <c r="H169" s="14" t="inlineStr"/>
      <c r="I169" s="14" t="inlineStr">
        <is>
          <t>Mattress protector</t>
        </is>
      </c>
      <c r="J169" s="20" t="n">
        <v>1</v>
      </c>
      <c r="K169" s="20" t="inlineStr">
        <is>
          <t>pcs</t>
        </is>
      </c>
      <c r="L169" s="19" t="n">
        <v>2</v>
      </c>
      <c r="M169" s="17">
        <f>IFERROR(J169*(1+IFERROR(L169,0)/100)*VLOOKUP(B169,'1. Articles (SKUs)'!F:R,13,FALSE),"")</f>
        <v/>
      </c>
      <c r="N169" s="19" t="inlineStr"/>
    </row>
    <row r="170">
      <c r="A170" s="12" t="inlineStr">
        <is>
          <t>FT9</t>
        </is>
      </c>
      <c r="B170" s="12" t="inlineStr">
        <is>
          <t>GPTE33</t>
        </is>
      </c>
      <c r="C170" s="12" t="inlineStr">
        <is>
          <t>TWIN</t>
        </is>
      </c>
      <c r="D170" s="12" t="inlineStr">
        <is>
          <t>Size Sticker</t>
        </is>
      </c>
      <c r="E170" s="12" t="inlineStr">
        <is>
          <t>Size Sticker</t>
        </is>
      </c>
      <c r="F170" s="12" t="inlineStr">
        <is>
          <t>Direct print on insert</t>
        </is>
      </c>
      <c r="G170" s="12" t="inlineStr"/>
      <c r="H170" s="12" t="inlineStr"/>
      <c r="I170" s="12" t="inlineStr">
        <is>
          <t>Mattress protector</t>
        </is>
      </c>
      <c r="J170" s="20" t="n">
        <v>1</v>
      </c>
      <c r="K170" s="20" t="inlineStr">
        <is>
          <t>pcs</t>
        </is>
      </c>
      <c r="L170" s="19" t="n">
        <v>2</v>
      </c>
      <c r="M170" s="16">
        <f>IFERROR(J170*(1+IFERROR(L170,0)/100)*VLOOKUP(B170,'1. Articles (SKUs)'!F:R,13,FALSE),"")</f>
        <v/>
      </c>
      <c r="N170" s="19" t="inlineStr"/>
    </row>
    <row r="171">
      <c r="A171" s="14" t="inlineStr">
        <is>
          <t>FT9</t>
        </is>
      </c>
      <c r="B171" s="14" t="inlineStr">
        <is>
          <t>GPTE33</t>
        </is>
      </c>
      <c r="C171" s="14" t="inlineStr">
        <is>
          <t>TWIN</t>
        </is>
      </c>
      <c r="D171" s="14" t="inlineStr">
        <is>
          <t>Barcode Sticker</t>
        </is>
      </c>
      <c r="E171" s="14" t="inlineStr">
        <is>
          <t>Barcode sticker</t>
        </is>
      </c>
      <c r="F171" s="14" t="inlineStr">
        <is>
          <t>All barcode (SKU) sticker must be stick on the PVC Bag (CANNOT PUT ON THE INSERT)</t>
        </is>
      </c>
      <c r="G171" s="14" t="inlineStr"/>
      <c r="H171" s="14" t="inlineStr"/>
      <c r="I171" s="14" t="inlineStr">
        <is>
          <t>Mattress protector</t>
        </is>
      </c>
      <c r="J171" s="20" t="n">
        <v>1</v>
      </c>
      <c r="K171" s="20" t="inlineStr">
        <is>
          <t>pcs</t>
        </is>
      </c>
      <c r="L171" s="19" t="n">
        <v>2</v>
      </c>
      <c r="M171" s="17">
        <f>IFERROR(J171*(1+IFERROR(L171,0)/100)*VLOOKUP(B171,'1. Articles (SKUs)'!F:R,13,FALSE),"")</f>
        <v/>
      </c>
      <c r="N171" s="19" t="inlineStr"/>
    </row>
    <row r="172">
      <c r="A172" s="12" t="inlineStr">
        <is>
          <t>FT9</t>
        </is>
      </c>
      <c r="B172" s="12" t="inlineStr">
        <is>
          <t>GPTE33</t>
        </is>
      </c>
      <c r="C172" s="12" t="inlineStr">
        <is>
          <t>TWIN</t>
        </is>
      </c>
      <c r="D172" s="12" t="inlineStr">
        <is>
          <t>Barcode Sticker Size</t>
        </is>
      </c>
      <c r="E172" s="12" t="inlineStr">
        <is>
          <t>Barcode Sticker /Size</t>
        </is>
      </c>
      <c r="F172" s="12" t="inlineStr">
        <is>
          <t>White ground with black fonts / 76mmx23mm</t>
        </is>
      </c>
      <c r="G172" s="12" t="inlineStr"/>
      <c r="H172" s="12" t="inlineStr"/>
      <c r="I172" s="12" t="inlineStr">
        <is>
          <t>Mattress protector</t>
        </is>
      </c>
      <c r="J172" s="20" t="n">
        <v>1</v>
      </c>
      <c r="K172" s="20" t="inlineStr">
        <is>
          <t>pcs</t>
        </is>
      </c>
      <c r="L172" s="19" t="n">
        <v>2</v>
      </c>
      <c r="M172" s="16">
        <f>IFERROR(J172*(1+IFERROR(L172,0)/100)*VLOOKUP(B172,'1. Articles (SKUs)'!F:R,13,FALSE),"")</f>
        <v/>
      </c>
      <c r="N172" s="19" t="inlineStr"/>
    </row>
    <row r="173">
      <c r="A173" s="14" t="inlineStr">
        <is>
          <t>FT9</t>
        </is>
      </c>
      <c r="B173" s="14" t="inlineStr">
        <is>
          <t>GPTE33</t>
        </is>
      </c>
      <c r="C173" s="14" t="inlineStr">
        <is>
          <t>TWIN</t>
        </is>
      </c>
      <c r="D173" s="14" t="inlineStr">
        <is>
          <t>Stiffener</t>
        </is>
      </c>
      <c r="E173" s="14" t="inlineStr">
        <is>
          <t>Cardboard</t>
        </is>
      </c>
      <c r="F173" s="14" t="inlineStr">
        <is>
          <t>Packaging inside need to put a “U”  1 ply thickness(1 layers with 1 layer corrugated ) in White Cardboard to maintain the shape before putting into the box</t>
        </is>
      </c>
      <c r="G173" s="14" t="inlineStr"/>
      <c r="H173" s="14" t="inlineStr"/>
      <c r="I173" s="14" t="inlineStr">
        <is>
          <t>Mattress protector</t>
        </is>
      </c>
      <c r="J173" s="20" t="n">
        <v>1</v>
      </c>
      <c r="K173" s="20" t="inlineStr">
        <is>
          <t>pcs</t>
        </is>
      </c>
      <c r="L173" s="19" t="n">
        <v>2</v>
      </c>
      <c r="M173" s="17">
        <f>IFERROR(J173*(1+IFERROR(L173,0)/100)*VLOOKUP(B173,'1. Articles (SKUs)'!F:R,13,FALSE),"")</f>
        <v/>
      </c>
      <c r="N173" s="19" t="inlineStr"/>
    </row>
    <row r="174">
      <c r="A174" s="12" t="inlineStr">
        <is>
          <t>FT9</t>
        </is>
      </c>
      <c r="B174" s="12" t="inlineStr">
        <is>
          <t>GPTE33</t>
        </is>
      </c>
      <c r="C174" s="12" t="inlineStr">
        <is>
          <t>TWIN</t>
        </is>
      </c>
      <c r="D174" s="12" t="inlineStr">
        <is>
          <t>Stiffener Size</t>
        </is>
      </c>
      <c r="E174" s="12" t="inlineStr">
        <is>
          <t>cardboard size</t>
        </is>
      </c>
      <c r="F174" s="12" t="inlineStr">
        <is>
          <t>Please refer spec sheet</t>
        </is>
      </c>
      <c r="G174" s="12" t="inlineStr"/>
      <c r="H174" s="12" t="inlineStr"/>
      <c r="I174" s="12" t="inlineStr">
        <is>
          <t>Mattress protector</t>
        </is>
      </c>
      <c r="J174" s="20" t="n">
        <v>1</v>
      </c>
      <c r="K174" s="20" t="inlineStr">
        <is>
          <t>pcs</t>
        </is>
      </c>
      <c r="L174" s="19" t="n">
        <v>2</v>
      </c>
      <c r="M174" s="16">
        <f>IFERROR(J174*(1+IFERROR(L174,0)/100)*VLOOKUP(B174,'1. Articles (SKUs)'!F:R,13,FALSE),"")</f>
        <v/>
      </c>
      <c r="N174" s="19" t="inlineStr"/>
    </row>
    <row r="175">
      <c r="A175" s="14" t="inlineStr">
        <is>
          <t>FT9</t>
        </is>
      </c>
      <c r="B175" s="14" t="inlineStr">
        <is>
          <t>GPTE38</t>
        </is>
      </c>
      <c r="C175" s="14" t="inlineStr">
        <is>
          <t>TWIN XL</t>
        </is>
      </c>
      <c r="D175" s="14" t="inlineStr">
        <is>
          <t>Zipper</t>
        </is>
      </c>
      <c r="E175" s="14" t="inlineStr">
        <is>
          <t>Nylon coil zipper #3</t>
        </is>
      </c>
      <c r="F175" s="14" t="inlineStr">
        <is>
          <t>Nylon</t>
        </is>
      </c>
      <c r="G175" s="14" t="inlineStr">
        <is>
          <t>4.3m per piece</t>
        </is>
      </c>
      <c r="H175" s="14" t="inlineStr">
        <is>
          <t>Around encasement perimeter</t>
        </is>
      </c>
      <c r="I175" s="14" t="inlineStr">
        <is>
          <t>Mattress protector</t>
        </is>
      </c>
      <c r="J175" s="20" t="n">
        <v>4.3</v>
      </c>
      <c r="K175" s="19" t="inlineStr">
        <is>
          <t>meters</t>
        </is>
      </c>
      <c r="L175" s="19" t="n">
        <v>2</v>
      </c>
      <c r="M175" s="17">
        <f>IFERROR(J175*(1+IFERROR(L175,0)/100)*VLOOKUP(B175,'1. Articles (SKUs)'!F:R,13,FALSE),"")</f>
        <v/>
      </c>
      <c r="N175" s="19" t="inlineStr"/>
    </row>
    <row r="176">
      <c r="A176" s="12" t="inlineStr">
        <is>
          <t>FT9</t>
        </is>
      </c>
      <c r="B176" s="12" t="inlineStr">
        <is>
          <t>GPTE38</t>
        </is>
      </c>
      <c r="C176" s="12" t="inlineStr">
        <is>
          <t>TWIN XL</t>
        </is>
      </c>
      <c r="D176" s="12" t="inlineStr">
        <is>
          <t>Thread</t>
        </is>
      </c>
      <c r="E176" s="12" t="inlineStr">
        <is>
          <t>Polyester sewing thread</t>
        </is>
      </c>
      <c r="F176" s="12" t="inlineStr">
        <is>
          <t>100% polyester spun</t>
        </is>
      </c>
      <c r="G176" s="12" t="inlineStr">
        <is>
          <t>TEX40 or 40/2</t>
        </is>
      </c>
      <c r="H176" s="12" t="inlineStr">
        <is>
          <t>All seams</t>
        </is>
      </c>
      <c r="I176" s="12" t="inlineStr">
        <is>
          <t>Mattress protector</t>
        </is>
      </c>
      <c r="J176" s="18" t="n"/>
      <c r="K176" s="19" t="inlineStr">
        <is>
          <t>meters</t>
        </is>
      </c>
      <c r="L176" s="19" t="n">
        <v>3</v>
      </c>
      <c r="M176" s="16">
        <f>IFERROR(J176*(1+IFERROR(L176,0)/100)*VLOOKUP(B176,'1. Articles (SKUs)'!F:R,13,FALSE),"")</f>
        <v/>
      </c>
      <c r="N176" s="19" t="inlineStr"/>
    </row>
    <row r="177">
      <c r="A177" s="14" t="inlineStr">
        <is>
          <t>FT9</t>
        </is>
      </c>
      <c r="B177" s="14" t="inlineStr">
        <is>
          <t>GPTE38</t>
        </is>
      </c>
      <c r="C177" s="14" t="inlineStr">
        <is>
          <t>TWIN XL</t>
        </is>
      </c>
      <c r="D177" s="14" t="inlineStr">
        <is>
          <t>Law Tag</t>
        </is>
      </c>
      <c r="E177" s="14" t="inlineStr">
        <is>
          <t>Non woven label with coating</t>
        </is>
      </c>
      <c r="F177" s="14" t="inlineStr">
        <is>
          <t>3M non woven material with white ground / black color font  (INK CANNOT DISCOLORATION AND STAIN ON PRODUCT)</t>
        </is>
      </c>
      <c r="G177" s="14" t="inlineStr">
        <is>
          <t>4.0cmX7.0cm</t>
        </is>
      </c>
      <c r="H177" s="14" t="inlineStr">
        <is>
          <t>Position of Law Tag label – Sewing at the middle of short si</t>
        </is>
      </c>
      <c r="I177" s="14" t="inlineStr">
        <is>
          <t>Law tag/Care label</t>
        </is>
      </c>
      <c r="J177" s="20" t="n">
        <v>1</v>
      </c>
      <c r="K177" s="20" t="inlineStr">
        <is>
          <t>pcs</t>
        </is>
      </c>
      <c r="L177" s="19" t="n">
        <v>2</v>
      </c>
      <c r="M177" s="17">
        <f>IFERROR(J177*(1+IFERROR(L177,0)/100)*VLOOKUP(B177,'1. Articles (SKUs)'!F:R,13,FALSE),"")</f>
        <v/>
      </c>
      <c r="N177" s="19" t="inlineStr"/>
    </row>
    <row r="178">
      <c r="A178" s="12" t="inlineStr">
        <is>
          <t>FT9</t>
        </is>
      </c>
      <c r="B178" s="12" t="inlineStr">
        <is>
          <t>GPTE38</t>
        </is>
      </c>
      <c r="C178" s="12" t="inlineStr">
        <is>
          <t>TWIN XL</t>
        </is>
      </c>
      <c r="D178" s="12" t="inlineStr">
        <is>
          <t>Size Label</t>
        </is>
      </c>
      <c r="E178" s="12" t="inlineStr">
        <is>
          <t>Non woven label with coating</t>
        </is>
      </c>
      <c r="F178" s="12" t="inlineStr">
        <is>
          <t>3M non woven material with white ground / black color font  (INK CANNOT DISCOLORATION AND STAIN ON PRODUCT)</t>
        </is>
      </c>
      <c r="G178" s="12" t="inlineStr">
        <is>
          <t>4.0cmX3.0cm</t>
        </is>
      </c>
      <c r="H178" s="12" t="inlineStr">
        <is>
          <t>Next the law tag label</t>
        </is>
      </c>
      <c r="I178" s="12" t="inlineStr">
        <is>
          <t>Size label</t>
        </is>
      </c>
      <c r="J178" s="20" t="n">
        <v>1</v>
      </c>
      <c r="K178" s="20" t="inlineStr">
        <is>
          <t>pcs</t>
        </is>
      </c>
      <c r="L178" s="19" t="n">
        <v>2</v>
      </c>
      <c r="M178" s="16">
        <f>IFERROR(J178*(1+IFERROR(L178,0)/100)*VLOOKUP(B178,'1. Articles (SKUs)'!F:R,13,FALSE),"")</f>
        <v/>
      </c>
      <c r="N178" s="19" t="inlineStr"/>
    </row>
    <row r="179">
      <c r="A179" s="14" t="inlineStr">
        <is>
          <t>FT9</t>
        </is>
      </c>
      <c r="B179" s="14" t="inlineStr">
        <is>
          <t>GPTE38</t>
        </is>
      </c>
      <c r="C179" s="14" t="inlineStr">
        <is>
          <t>TWIN XL</t>
        </is>
      </c>
      <c r="D179" s="14" t="inlineStr">
        <is>
          <t>Packaging</t>
        </is>
      </c>
      <c r="E179" s="14" t="inlineStr">
        <is>
          <t>Packaging type</t>
        </is>
      </c>
      <c r="F179" s="14" t="inlineStr">
        <is>
          <t>Color paper insert with vinyl PVC Bag with white bound seam &amp; inside cardboard wrapped by product(Stiffener)</t>
        </is>
      </c>
      <c r="G179" s="14" t="inlineStr"/>
      <c r="H179" s="14" t="inlineStr"/>
      <c r="I179" s="14" t="inlineStr">
        <is>
          <t>Main</t>
        </is>
      </c>
      <c r="J179" s="20" t="n">
        <v>1</v>
      </c>
      <c r="K179" s="20" t="inlineStr">
        <is>
          <t>pcs</t>
        </is>
      </c>
      <c r="L179" s="19" t="n">
        <v>2</v>
      </c>
      <c r="M179" s="17">
        <f>IFERROR(J179*(1+IFERROR(L179,0)/100)*VLOOKUP(B179,'1. Articles (SKUs)'!F:R,13,FALSE),"")</f>
        <v/>
      </c>
      <c r="N179" s="19" t="inlineStr"/>
    </row>
    <row r="180">
      <c r="A180" s="12" t="inlineStr">
        <is>
          <t>FT9</t>
        </is>
      </c>
      <c r="B180" s="12" t="inlineStr">
        <is>
          <t>GPTE38</t>
        </is>
      </c>
      <c r="C180" s="12" t="inlineStr">
        <is>
          <t>TWIN XL</t>
        </is>
      </c>
      <c r="D180" s="12" t="inlineStr">
        <is>
          <t>PVC Bag</t>
        </is>
      </c>
      <c r="E180" s="12" t="inlineStr">
        <is>
          <t>Bag material</t>
        </is>
      </c>
      <c r="F180" s="12" t="inlineStr">
        <is>
          <t>12S (Thickness)- Transparent PVC Bag with 7S(Thickness) White PVC White Binding all around seam and 3# Nylon Coil White Zipper(No Hanger Loop on top)</t>
        </is>
      </c>
      <c r="G180" s="12" t="inlineStr"/>
      <c r="H180" s="12" t="inlineStr"/>
      <c r="I180" s="12" t="inlineStr">
        <is>
          <t>Mattress protector</t>
        </is>
      </c>
      <c r="J180" s="20" t="n">
        <v>1</v>
      </c>
      <c r="K180" s="20" t="inlineStr">
        <is>
          <t>pcs</t>
        </is>
      </c>
      <c r="L180" s="19" t="n">
        <v>2</v>
      </c>
      <c r="M180" s="16">
        <f>IFERROR(J180*(1+IFERROR(L180,0)/100)*VLOOKUP(B180,'1. Articles (SKUs)'!F:R,13,FALSE),"")</f>
        <v/>
      </c>
      <c r="N180" s="19" t="inlineStr"/>
    </row>
    <row r="181">
      <c r="A181" s="14" t="inlineStr">
        <is>
          <t>FT9</t>
        </is>
      </c>
      <c r="B181" s="14" t="inlineStr">
        <is>
          <t>GPTE38</t>
        </is>
      </c>
      <c r="C181" s="14" t="inlineStr">
        <is>
          <t>TWIN XL</t>
        </is>
      </c>
      <c r="D181" s="14" t="inlineStr">
        <is>
          <t>Insert Card</t>
        </is>
      </c>
      <c r="E181" s="14" t="inlineStr">
        <is>
          <t>Color paper insert material</t>
        </is>
      </c>
      <c r="F181" s="14" t="inlineStr">
        <is>
          <t>Printed Insert quality -  INSERT (“U” Shape) - Insert Material: 250g-300g White Card Paper with Coating both side</t>
        </is>
      </c>
      <c r="G181" s="14" t="inlineStr"/>
      <c r="H181" s="14" t="inlineStr"/>
      <c r="I181" s="14" t="inlineStr">
        <is>
          <t>Mattress protector</t>
        </is>
      </c>
      <c r="J181" s="20" t="n">
        <v>1</v>
      </c>
      <c r="K181" s="20" t="inlineStr">
        <is>
          <t>pcs</t>
        </is>
      </c>
      <c r="L181" s="19" t="n">
        <v>2</v>
      </c>
      <c r="M181" s="17">
        <f>IFERROR(J181*(1+IFERROR(L181,0)/100)*VLOOKUP(B181,'1. Articles (SKUs)'!F:R,13,FALSE),"")</f>
        <v/>
      </c>
      <c r="N181" s="19" t="inlineStr"/>
    </row>
    <row r="182">
      <c r="A182" s="12" t="inlineStr">
        <is>
          <t>FT9</t>
        </is>
      </c>
      <c r="B182" s="12" t="inlineStr">
        <is>
          <t>GPTE38</t>
        </is>
      </c>
      <c r="C182" s="12" t="inlineStr">
        <is>
          <t>TWIN XL</t>
        </is>
      </c>
      <c r="D182" s="12" t="inlineStr">
        <is>
          <t>Stiffener</t>
        </is>
      </c>
      <c r="E182" s="12" t="inlineStr">
        <is>
          <t>Cardboard material(Stiffener)</t>
        </is>
      </c>
      <c r="F182" s="12" t="inlineStr">
        <is>
          <t>Packaging inside need to put a “U”  1 ply thickness(1 layers with 1 layer corrugated ) in White Cardboard to maintain the shape before putting into the box</t>
        </is>
      </c>
      <c r="G182" s="12" t="inlineStr"/>
      <c r="H182" s="12" t="inlineStr"/>
      <c r="I182" s="12" t="inlineStr">
        <is>
          <t>Mattress protector</t>
        </is>
      </c>
      <c r="J182" s="20" t="n">
        <v>1</v>
      </c>
      <c r="K182" s="20" t="inlineStr">
        <is>
          <t>pcs</t>
        </is>
      </c>
      <c r="L182" s="19" t="n">
        <v>2</v>
      </c>
      <c r="M182" s="16">
        <f>IFERROR(J182*(1+IFERROR(L182,0)/100)*VLOOKUP(B182,'1. Articles (SKUs)'!F:R,13,FALSE),"")</f>
        <v/>
      </c>
      <c r="N182" s="19" t="inlineStr"/>
    </row>
    <row r="183">
      <c r="A183" s="14" t="inlineStr">
        <is>
          <t>FT9</t>
        </is>
      </c>
      <c r="B183" s="14" t="inlineStr">
        <is>
          <t>GPTE38</t>
        </is>
      </c>
      <c r="C183" s="14" t="inlineStr">
        <is>
          <t>TWIN XL</t>
        </is>
      </c>
      <c r="D183" s="14" t="inlineStr">
        <is>
          <t>Size Sticker</t>
        </is>
      </c>
      <c r="E183" s="14" t="inlineStr">
        <is>
          <t>Size Sticker</t>
        </is>
      </c>
      <c r="F183" s="14" t="inlineStr">
        <is>
          <t>Direct print on insert</t>
        </is>
      </c>
      <c r="G183" s="14" t="inlineStr"/>
      <c r="H183" s="14" t="inlineStr"/>
      <c r="I183" s="14" t="inlineStr">
        <is>
          <t>Mattress protector</t>
        </is>
      </c>
      <c r="J183" s="20" t="n">
        <v>1</v>
      </c>
      <c r="K183" s="20" t="inlineStr">
        <is>
          <t>pcs</t>
        </is>
      </c>
      <c r="L183" s="19" t="n">
        <v>2</v>
      </c>
      <c r="M183" s="17">
        <f>IFERROR(J183*(1+IFERROR(L183,0)/100)*VLOOKUP(B183,'1. Articles (SKUs)'!F:R,13,FALSE),"")</f>
        <v/>
      </c>
      <c r="N183" s="19" t="inlineStr"/>
    </row>
    <row r="184">
      <c r="A184" s="12" t="inlineStr">
        <is>
          <t>FT9</t>
        </is>
      </c>
      <c r="B184" s="12" t="inlineStr">
        <is>
          <t>GPTE38</t>
        </is>
      </c>
      <c r="C184" s="12" t="inlineStr">
        <is>
          <t>TWIN XL</t>
        </is>
      </c>
      <c r="D184" s="12" t="inlineStr">
        <is>
          <t>Barcode Sticker</t>
        </is>
      </c>
      <c r="E184" s="12" t="inlineStr">
        <is>
          <t>Barcode sticker</t>
        </is>
      </c>
      <c r="F184" s="12" t="inlineStr">
        <is>
          <t>All barcode (SKU) sticker must be stick on the PVC Bag (CANNOT PUT ON THE INSERT)</t>
        </is>
      </c>
      <c r="G184" s="12" t="inlineStr"/>
      <c r="H184" s="12" t="inlineStr"/>
      <c r="I184" s="12" t="inlineStr">
        <is>
          <t>Mattress protector</t>
        </is>
      </c>
      <c r="J184" s="20" t="n">
        <v>1</v>
      </c>
      <c r="K184" s="20" t="inlineStr">
        <is>
          <t>pcs</t>
        </is>
      </c>
      <c r="L184" s="19" t="n">
        <v>2</v>
      </c>
      <c r="M184" s="16">
        <f>IFERROR(J184*(1+IFERROR(L184,0)/100)*VLOOKUP(B184,'1. Articles (SKUs)'!F:R,13,FALSE),"")</f>
        <v/>
      </c>
      <c r="N184" s="19" t="inlineStr"/>
    </row>
    <row r="185">
      <c r="A185" s="14" t="inlineStr">
        <is>
          <t>FT9</t>
        </is>
      </c>
      <c r="B185" s="14" t="inlineStr">
        <is>
          <t>GPTE38</t>
        </is>
      </c>
      <c r="C185" s="14" t="inlineStr">
        <is>
          <t>TWIN XL</t>
        </is>
      </c>
      <c r="D185" s="14" t="inlineStr">
        <is>
          <t>Barcode Sticker Size</t>
        </is>
      </c>
      <c r="E185" s="14" t="inlineStr">
        <is>
          <t>Barcode Sticker /Size</t>
        </is>
      </c>
      <c r="F185" s="14" t="inlineStr">
        <is>
          <t>White ground with black fonts / 76mmx23mm</t>
        </is>
      </c>
      <c r="G185" s="14" t="inlineStr"/>
      <c r="H185" s="14" t="inlineStr"/>
      <c r="I185" s="14" t="inlineStr">
        <is>
          <t>Mattress protector</t>
        </is>
      </c>
      <c r="J185" s="20" t="n">
        <v>1</v>
      </c>
      <c r="K185" s="20" t="inlineStr">
        <is>
          <t>pcs</t>
        </is>
      </c>
      <c r="L185" s="19" t="n">
        <v>2</v>
      </c>
      <c r="M185" s="17">
        <f>IFERROR(J185*(1+IFERROR(L185,0)/100)*VLOOKUP(B185,'1. Articles (SKUs)'!F:R,13,FALSE),"")</f>
        <v/>
      </c>
      <c r="N185" s="19" t="inlineStr"/>
    </row>
    <row r="186">
      <c r="A186" s="12" t="inlineStr">
        <is>
          <t>FT9</t>
        </is>
      </c>
      <c r="B186" s="12" t="inlineStr">
        <is>
          <t>GPTE38</t>
        </is>
      </c>
      <c r="C186" s="12" t="inlineStr">
        <is>
          <t>TWIN XL</t>
        </is>
      </c>
      <c r="D186" s="12" t="inlineStr">
        <is>
          <t>Stiffener</t>
        </is>
      </c>
      <c r="E186" s="12" t="inlineStr">
        <is>
          <t>Cardboard</t>
        </is>
      </c>
      <c r="F186" s="12" t="inlineStr">
        <is>
          <t>Packaging inside need to put a “U”  1 ply thickness(1 layers with 1 layer corrugated ) in White Cardboard to maintain the shape before putting into the box</t>
        </is>
      </c>
      <c r="G186" s="12" t="inlineStr"/>
      <c r="H186" s="12" t="inlineStr"/>
      <c r="I186" s="12" t="inlineStr">
        <is>
          <t>Mattress protector</t>
        </is>
      </c>
      <c r="J186" s="20" t="n">
        <v>1</v>
      </c>
      <c r="K186" s="20" t="inlineStr">
        <is>
          <t>pcs</t>
        </is>
      </c>
      <c r="L186" s="19" t="n">
        <v>2</v>
      </c>
      <c r="M186" s="16">
        <f>IFERROR(J186*(1+IFERROR(L186,0)/100)*VLOOKUP(B186,'1. Articles (SKUs)'!F:R,13,FALSE),"")</f>
        <v/>
      </c>
      <c r="N186" s="19" t="inlineStr"/>
    </row>
    <row r="187">
      <c r="A187" s="14" t="inlineStr">
        <is>
          <t>FT9</t>
        </is>
      </c>
      <c r="B187" s="14" t="inlineStr">
        <is>
          <t>GPTE38</t>
        </is>
      </c>
      <c r="C187" s="14" t="inlineStr">
        <is>
          <t>TWIN XL</t>
        </is>
      </c>
      <c r="D187" s="14" t="inlineStr">
        <is>
          <t>Stiffener Size</t>
        </is>
      </c>
      <c r="E187" s="14" t="inlineStr">
        <is>
          <t>cardboard size</t>
        </is>
      </c>
      <c r="F187" s="14" t="inlineStr">
        <is>
          <t>Please refer spec sheet</t>
        </is>
      </c>
      <c r="G187" s="14" t="inlineStr"/>
      <c r="H187" s="14" t="inlineStr"/>
      <c r="I187" s="14" t="inlineStr">
        <is>
          <t>Mattress protector</t>
        </is>
      </c>
      <c r="J187" s="20" t="n">
        <v>1</v>
      </c>
      <c r="K187" s="20" t="inlineStr">
        <is>
          <t>pcs</t>
        </is>
      </c>
      <c r="L187" s="19" t="n">
        <v>2</v>
      </c>
      <c r="M187" s="17">
        <f>IFERROR(J187*(1+IFERROR(L187,0)/100)*VLOOKUP(B187,'1. Articles (SKUs)'!F:R,13,FALSE),"")</f>
        <v/>
      </c>
      <c r="N187" s="19" t="inlineStr"/>
    </row>
    <row r="188">
      <c r="A188" s="12" t="inlineStr">
        <is>
          <t>FT9</t>
        </is>
      </c>
      <c r="B188" s="12" t="inlineStr">
        <is>
          <t>GPTE46</t>
        </is>
      </c>
      <c r="C188" s="12" t="inlineStr">
        <is>
          <t>FULL</t>
        </is>
      </c>
      <c r="D188" s="12" t="inlineStr">
        <is>
          <t>Zipper</t>
        </is>
      </c>
      <c r="E188" s="12" t="inlineStr">
        <is>
          <t>Nylon coil zipper #3</t>
        </is>
      </c>
      <c r="F188" s="12" t="inlineStr">
        <is>
          <t>Nylon</t>
        </is>
      </c>
      <c r="G188" s="12" t="inlineStr">
        <is>
          <t>4.45m per piece</t>
        </is>
      </c>
      <c r="H188" s="12" t="inlineStr">
        <is>
          <t>Around encasement perimeter</t>
        </is>
      </c>
      <c r="I188" s="12" t="inlineStr">
        <is>
          <t>Mattress protector</t>
        </is>
      </c>
      <c r="J188" s="20" t="n">
        <v>4.45</v>
      </c>
      <c r="K188" s="19" t="inlineStr">
        <is>
          <t>meters</t>
        </is>
      </c>
      <c r="L188" s="19" t="n">
        <v>2</v>
      </c>
      <c r="M188" s="16">
        <f>IFERROR(J188*(1+IFERROR(L188,0)/100)*VLOOKUP(B188,'1. Articles (SKUs)'!F:R,13,FALSE),"")</f>
        <v/>
      </c>
      <c r="N188" s="19" t="inlineStr"/>
    </row>
    <row r="189">
      <c r="A189" s="14" t="inlineStr">
        <is>
          <t>FT9</t>
        </is>
      </c>
      <c r="B189" s="14" t="inlineStr">
        <is>
          <t>GPTE46</t>
        </is>
      </c>
      <c r="C189" s="14" t="inlineStr">
        <is>
          <t>FULL</t>
        </is>
      </c>
      <c r="D189" s="14" t="inlineStr">
        <is>
          <t>Thread</t>
        </is>
      </c>
      <c r="E189" s="14" t="inlineStr">
        <is>
          <t>Polyester sewing thread</t>
        </is>
      </c>
      <c r="F189" s="14" t="inlineStr">
        <is>
          <t>100% polyester spun</t>
        </is>
      </c>
      <c r="G189" s="14" t="inlineStr">
        <is>
          <t>TEX40 or 40/2</t>
        </is>
      </c>
      <c r="H189" s="14" t="inlineStr">
        <is>
          <t>All seams</t>
        </is>
      </c>
      <c r="I189" s="14" t="inlineStr">
        <is>
          <t>Mattress protector</t>
        </is>
      </c>
      <c r="J189" s="18" t="n"/>
      <c r="K189" s="19" t="inlineStr">
        <is>
          <t>meters</t>
        </is>
      </c>
      <c r="L189" s="19" t="n">
        <v>3</v>
      </c>
      <c r="M189" s="17">
        <f>IFERROR(J189*(1+IFERROR(L189,0)/100)*VLOOKUP(B189,'1. Articles (SKUs)'!F:R,13,FALSE),"")</f>
        <v/>
      </c>
      <c r="N189" s="19" t="inlineStr"/>
    </row>
    <row r="190">
      <c r="A190" s="12" t="inlineStr">
        <is>
          <t>FT9</t>
        </is>
      </c>
      <c r="B190" s="12" t="inlineStr">
        <is>
          <t>GPTE46</t>
        </is>
      </c>
      <c r="C190" s="12" t="inlineStr">
        <is>
          <t>FULL</t>
        </is>
      </c>
      <c r="D190" s="12" t="inlineStr">
        <is>
          <t>Law Tag</t>
        </is>
      </c>
      <c r="E190" s="12" t="inlineStr">
        <is>
          <t>Non woven label with coating</t>
        </is>
      </c>
      <c r="F190" s="12" t="inlineStr">
        <is>
          <t>3M non woven material with white ground / black color font  (INK CANNOT DISCOLORATION AND STAIN ON PRODUCT)</t>
        </is>
      </c>
      <c r="G190" s="12" t="inlineStr">
        <is>
          <t>4.0cmX7.0cm</t>
        </is>
      </c>
      <c r="H190" s="12" t="inlineStr">
        <is>
          <t>Position of Law Tag label – Sewing at the middle of short si</t>
        </is>
      </c>
      <c r="I190" s="12" t="inlineStr">
        <is>
          <t>Law tag/Care label</t>
        </is>
      </c>
      <c r="J190" s="20" t="n">
        <v>1</v>
      </c>
      <c r="K190" s="20" t="inlineStr">
        <is>
          <t>pcs</t>
        </is>
      </c>
      <c r="L190" s="19" t="n">
        <v>2</v>
      </c>
      <c r="M190" s="16">
        <f>IFERROR(J190*(1+IFERROR(L190,0)/100)*VLOOKUP(B190,'1. Articles (SKUs)'!F:R,13,FALSE),"")</f>
        <v/>
      </c>
      <c r="N190" s="19" t="inlineStr"/>
    </row>
    <row r="191">
      <c r="A191" s="14" t="inlineStr">
        <is>
          <t>FT9</t>
        </is>
      </c>
      <c r="B191" s="14" t="inlineStr">
        <is>
          <t>GPTE46</t>
        </is>
      </c>
      <c r="C191" s="14" t="inlineStr">
        <is>
          <t>FULL</t>
        </is>
      </c>
      <c r="D191" s="14" t="inlineStr">
        <is>
          <t>Size Label</t>
        </is>
      </c>
      <c r="E191" s="14" t="inlineStr">
        <is>
          <t>Non woven label with coating</t>
        </is>
      </c>
      <c r="F191" s="14" t="inlineStr">
        <is>
          <t>3M non woven material with white ground / black color font  (INK CANNOT DISCOLORATION AND STAIN ON PRODUCT)</t>
        </is>
      </c>
      <c r="G191" s="14" t="inlineStr">
        <is>
          <t>4.0cmX3.0cm</t>
        </is>
      </c>
      <c r="H191" s="14" t="inlineStr">
        <is>
          <t>Next the law tag label</t>
        </is>
      </c>
      <c r="I191" s="14" t="inlineStr">
        <is>
          <t>Size label</t>
        </is>
      </c>
      <c r="J191" s="20" t="n">
        <v>1</v>
      </c>
      <c r="K191" s="20" t="inlineStr">
        <is>
          <t>pcs</t>
        </is>
      </c>
      <c r="L191" s="19" t="n">
        <v>2</v>
      </c>
      <c r="M191" s="17">
        <f>IFERROR(J191*(1+IFERROR(L191,0)/100)*VLOOKUP(B191,'1. Articles (SKUs)'!F:R,13,FALSE),"")</f>
        <v/>
      </c>
      <c r="N191" s="19" t="inlineStr"/>
    </row>
    <row r="192">
      <c r="A192" s="12" t="inlineStr">
        <is>
          <t>FT9</t>
        </is>
      </c>
      <c r="B192" s="12" t="inlineStr">
        <is>
          <t>GPTE46</t>
        </is>
      </c>
      <c r="C192" s="12" t="inlineStr">
        <is>
          <t>FULL</t>
        </is>
      </c>
      <c r="D192" s="12" t="inlineStr">
        <is>
          <t>Packaging</t>
        </is>
      </c>
      <c r="E192" s="12" t="inlineStr">
        <is>
          <t>Packaging type</t>
        </is>
      </c>
      <c r="F192" s="12" t="inlineStr">
        <is>
          <t>Color paper insert with vinyl PVC Bag with white bound seam &amp; inside cardboard wrapped by product(Stiffener)</t>
        </is>
      </c>
      <c r="G192" s="12" t="inlineStr"/>
      <c r="H192" s="12" t="inlineStr"/>
      <c r="I192" s="12" t="inlineStr">
        <is>
          <t>Main</t>
        </is>
      </c>
      <c r="J192" s="20" t="n">
        <v>1</v>
      </c>
      <c r="K192" s="20" t="inlineStr">
        <is>
          <t>pcs</t>
        </is>
      </c>
      <c r="L192" s="19" t="n">
        <v>2</v>
      </c>
      <c r="M192" s="16">
        <f>IFERROR(J192*(1+IFERROR(L192,0)/100)*VLOOKUP(B192,'1. Articles (SKUs)'!F:R,13,FALSE),"")</f>
        <v/>
      </c>
      <c r="N192" s="19" t="inlineStr"/>
    </row>
    <row r="193">
      <c r="A193" s="14" t="inlineStr">
        <is>
          <t>FT9</t>
        </is>
      </c>
      <c r="B193" s="14" t="inlineStr">
        <is>
          <t>GPTE46</t>
        </is>
      </c>
      <c r="C193" s="14" t="inlineStr">
        <is>
          <t>FULL</t>
        </is>
      </c>
      <c r="D193" s="14" t="inlineStr">
        <is>
          <t>PVC Bag</t>
        </is>
      </c>
      <c r="E193" s="14" t="inlineStr">
        <is>
          <t>Bag material</t>
        </is>
      </c>
      <c r="F193" s="14" t="inlineStr">
        <is>
          <t>12S (Thickness)- Transparent PVC Bag with 7S(Thickness) White PVC White Binding all around seam and 3# Nylon Coil White Zipper(No Hanger Loop on top)</t>
        </is>
      </c>
      <c r="G193" s="14" t="inlineStr"/>
      <c r="H193" s="14" t="inlineStr"/>
      <c r="I193" s="14" t="inlineStr">
        <is>
          <t>Mattress protector</t>
        </is>
      </c>
      <c r="J193" s="20" t="n">
        <v>1</v>
      </c>
      <c r="K193" s="20" t="inlineStr">
        <is>
          <t>pcs</t>
        </is>
      </c>
      <c r="L193" s="19" t="n">
        <v>2</v>
      </c>
      <c r="M193" s="17">
        <f>IFERROR(J193*(1+IFERROR(L193,0)/100)*VLOOKUP(B193,'1. Articles (SKUs)'!F:R,13,FALSE),"")</f>
        <v/>
      </c>
      <c r="N193" s="19" t="inlineStr"/>
    </row>
    <row r="194">
      <c r="A194" s="12" t="inlineStr">
        <is>
          <t>FT9</t>
        </is>
      </c>
      <c r="B194" s="12" t="inlineStr">
        <is>
          <t>GPTE46</t>
        </is>
      </c>
      <c r="C194" s="12" t="inlineStr">
        <is>
          <t>FULL</t>
        </is>
      </c>
      <c r="D194" s="12" t="inlineStr">
        <is>
          <t>Insert Card</t>
        </is>
      </c>
      <c r="E194" s="12" t="inlineStr">
        <is>
          <t>Color paper insert material</t>
        </is>
      </c>
      <c r="F194" s="12" t="inlineStr">
        <is>
          <t>Printed Insert quality -  INSERT (“U” Shape) - Insert Material: 250g-300g White Card Paper with Coating both side</t>
        </is>
      </c>
      <c r="G194" s="12" t="inlineStr"/>
      <c r="H194" s="12" t="inlineStr"/>
      <c r="I194" s="12" t="inlineStr">
        <is>
          <t>Mattress protector</t>
        </is>
      </c>
      <c r="J194" s="20" t="n">
        <v>1</v>
      </c>
      <c r="K194" s="20" t="inlineStr">
        <is>
          <t>pcs</t>
        </is>
      </c>
      <c r="L194" s="19" t="n">
        <v>2</v>
      </c>
      <c r="M194" s="16">
        <f>IFERROR(J194*(1+IFERROR(L194,0)/100)*VLOOKUP(B194,'1. Articles (SKUs)'!F:R,13,FALSE),"")</f>
        <v/>
      </c>
      <c r="N194" s="19" t="inlineStr"/>
    </row>
    <row r="195">
      <c r="A195" s="14" t="inlineStr">
        <is>
          <t>FT9</t>
        </is>
      </c>
      <c r="B195" s="14" t="inlineStr">
        <is>
          <t>GPTE46</t>
        </is>
      </c>
      <c r="C195" s="14" t="inlineStr">
        <is>
          <t>FULL</t>
        </is>
      </c>
      <c r="D195" s="14" t="inlineStr">
        <is>
          <t>Stiffener</t>
        </is>
      </c>
      <c r="E195" s="14" t="inlineStr">
        <is>
          <t>Cardboard material(Stiffener)</t>
        </is>
      </c>
      <c r="F195" s="14" t="inlineStr">
        <is>
          <t>Packaging inside need to put a “U”  1 ply thickness(1 layers with 1 layer corrugated ) in White Cardboard to maintain the shape before putting into the box</t>
        </is>
      </c>
      <c r="G195" s="14" t="inlineStr"/>
      <c r="H195" s="14" t="inlineStr"/>
      <c r="I195" s="14" t="inlineStr">
        <is>
          <t>Mattress protector</t>
        </is>
      </c>
      <c r="J195" s="20" t="n">
        <v>1</v>
      </c>
      <c r="K195" s="20" t="inlineStr">
        <is>
          <t>pcs</t>
        </is>
      </c>
      <c r="L195" s="19" t="n">
        <v>2</v>
      </c>
      <c r="M195" s="17">
        <f>IFERROR(J195*(1+IFERROR(L195,0)/100)*VLOOKUP(B195,'1. Articles (SKUs)'!F:R,13,FALSE),"")</f>
        <v/>
      </c>
      <c r="N195" s="19" t="inlineStr"/>
    </row>
    <row r="196">
      <c r="A196" s="12" t="inlineStr">
        <is>
          <t>FT9</t>
        </is>
      </c>
      <c r="B196" s="12" t="inlineStr">
        <is>
          <t>GPTE46</t>
        </is>
      </c>
      <c r="C196" s="12" t="inlineStr">
        <is>
          <t>FULL</t>
        </is>
      </c>
      <c r="D196" s="12" t="inlineStr">
        <is>
          <t>Size Sticker</t>
        </is>
      </c>
      <c r="E196" s="12" t="inlineStr">
        <is>
          <t>Size Sticker</t>
        </is>
      </c>
      <c r="F196" s="12" t="inlineStr">
        <is>
          <t>Direct print on insert</t>
        </is>
      </c>
      <c r="G196" s="12" t="inlineStr"/>
      <c r="H196" s="12" t="inlineStr"/>
      <c r="I196" s="12" t="inlineStr">
        <is>
          <t>Mattress protector</t>
        </is>
      </c>
      <c r="J196" s="20" t="n">
        <v>1</v>
      </c>
      <c r="K196" s="20" t="inlineStr">
        <is>
          <t>pcs</t>
        </is>
      </c>
      <c r="L196" s="19" t="n">
        <v>2</v>
      </c>
      <c r="M196" s="16">
        <f>IFERROR(J196*(1+IFERROR(L196,0)/100)*VLOOKUP(B196,'1. Articles (SKUs)'!F:R,13,FALSE),"")</f>
        <v/>
      </c>
      <c r="N196" s="19" t="inlineStr"/>
    </row>
    <row r="197">
      <c r="A197" s="14" t="inlineStr">
        <is>
          <t>FT9</t>
        </is>
      </c>
      <c r="B197" s="14" t="inlineStr">
        <is>
          <t>GPTE46</t>
        </is>
      </c>
      <c r="C197" s="14" t="inlineStr">
        <is>
          <t>FULL</t>
        </is>
      </c>
      <c r="D197" s="14" t="inlineStr">
        <is>
          <t>Barcode Sticker</t>
        </is>
      </c>
      <c r="E197" s="14" t="inlineStr">
        <is>
          <t>Barcode sticker</t>
        </is>
      </c>
      <c r="F197" s="14" t="inlineStr">
        <is>
          <t>All barcode (SKU) sticker must be stick on the PVC Bag (CANNOT PUT ON THE INSERT)</t>
        </is>
      </c>
      <c r="G197" s="14" t="inlineStr"/>
      <c r="H197" s="14" t="inlineStr"/>
      <c r="I197" s="14" t="inlineStr">
        <is>
          <t>Mattress protector</t>
        </is>
      </c>
      <c r="J197" s="20" t="n">
        <v>1</v>
      </c>
      <c r="K197" s="20" t="inlineStr">
        <is>
          <t>pcs</t>
        </is>
      </c>
      <c r="L197" s="19" t="n">
        <v>2</v>
      </c>
      <c r="M197" s="17">
        <f>IFERROR(J197*(1+IFERROR(L197,0)/100)*VLOOKUP(B197,'1. Articles (SKUs)'!F:R,13,FALSE),"")</f>
        <v/>
      </c>
      <c r="N197" s="19" t="inlineStr"/>
    </row>
    <row r="198">
      <c r="A198" s="12" t="inlineStr">
        <is>
          <t>FT9</t>
        </is>
      </c>
      <c r="B198" s="12" t="inlineStr">
        <is>
          <t>GPTE46</t>
        </is>
      </c>
      <c r="C198" s="12" t="inlineStr">
        <is>
          <t>FULL</t>
        </is>
      </c>
      <c r="D198" s="12" t="inlineStr">
        <is>
          <t>Barcode Sticker Size</t>
        </is>
      </c>
      <c r="E198" s="12" t="inlineStr">
        <is>
          <t>Barcode Sticker /Size</t>
        </is>
      </c>
      <c r="F198" s="12" t="inlineStr">
        <is>
          <t>White ground with black fonts / 76mmx23mm</t>
        </is>
      </c>
      <c r="G198" s="12" t="inlineStr"/>
      <c r="H198" s="12" t="inlineStr"/>
      <c r="I198" s="12" t="inlineStr">
        <is>
          <t>Mattress protector</t>
        </is>
      </c>
      <c r="J198" s="20" t="n">
        <v>1</v>
      </c>
      <c r="K198" s="20" t="inlineStr">
        <is>
          <t>pcs</t>
        </is>
      </c>
      <c r="L198" s="19" t="n">
        <v>2</v>
      </c>
      <c r="M198" s="16">
        <f>IFERROR(J198*(1+IFERROR(L198,0)/100)*VLOOKUP(B198,'1. Articles (SKUs)'!F:R,13,FALSE),"")</f>
        <v/>
      </c>
      <c r="N198" s="19" t="inlineStr"/>
    </row>
    <row r="199">
      <c r="A199" s="14" t="inlineStr">
        <is>
          <t>FT9</t>
        </is>
      </c>
      <c r="B199" s="14" t="inlineStr">
        <is>
          <t>GPTE46</t>
        </is>
      </c>
      <c r="C199" s="14" t="inlineStr">
        <is>
          <t>FULL</t>
        </is>
      </c>
      <c r="D199" s="14" t="inlineStr">
        <is>
          <t>Stiffener</t>
        </is>
      </c>
      <c r="E199" s="14" t="inlineStr">
        <is>
          <t>Cardboard</t>
        </is>
      </c>
      <c r="F199" s="14" t="inlineStr">
        <is>
          <t>Packaging inside need to put a “U”  1 ply thickness(1 layers with 1 layer corrugated ) in White Cardboard to maintain the shape before putting into the box</t>
        </is>
      </c>
      <c r="G199" s="14" t="inlineStr"/>
      <c r="H199" s="14" t="inlineStr"/>
      <c r="I199" s="14" t="inlineStr">
        <is>
          <t>Mattress protector</t>
        </is>
      </c>
      <c r="J199" s="20" t="n">
        <v>1</v>
      </c>
      <c r="K199" s="20" t="inlineStr">
        <is>
          <t>pcs</t>
        </is>
      </c>
      <c r="L199" s="19" t="n">
        <v>2</v>
      </c>
      <c r="M199" s="17">
        <f>IFERROR(J199*(1+IFERROR(L199,0)/100)*VLOOKUP(B199,'1. Articles (SKUs)'!F:R,13,FALSE),"")</f>
        <v/>
      </c>
      <c r="N199" s="19" t="inlineStr"/>
    </row>
    <row r="200">
      <c r="A200" s="12" t="inlineStr">
        <is>
          <t>FT9</t>
        </is>
      </c>
      <c r="B200" s="12" t="inlineStr">
        <is>
          <t>GPTE46</t>
        </is>
      </c>
      <c r="C200" s="12" t="inlineStr">
        <is>
          <t>FULL</t>
        </is>
      </c>
      <c r="D200" s="12" t="inlineStr">
        <is>
          <t>Stiffener Size</t>
        </is>
      </c>
      <c r="E200" s="12" t="inlineStr">
        <is>
          <t>cardboard size</t>
        </is>
      </c>
      <c r="F200" s="12" t="inlineStr">
        <is>
          <t>Please refer spec sheet</t>
        </is>
      </c>
      <c r="G200" s="12" t="inlineStr"/>
      <c r="H200" s="12" t="inlineStr"/>
      <c r="I200" s="12" t="inlineStr">
        <is>
          <t>Mattress protector</t>
        </is>
      </c>
      <c r="J200" s="20" t="n">
        <v>1</v>
      </c>
      <c r="K200" s="20" t="inlineStr">
        <is>
          <t>pcs</t>
        </is>
      </c>
      <c r="L200" s="19" t="n">
        <v>2</v>
      </c>
      <c r="M200" s="16">
        <f>IFERROR(J200*(1+IFERROR(L200,0)/100)*VLOOKUP(B200,'1. Articles (SKUs)'!F:R,13,FALSE),"")</f>
        <v/>
      </c>
      <c r="N200" s="19" t="inlineStr"/>
    </row>
    <row r="201">
      <c r="A201" s="14" t="inlineStr">
        <is>
          <t>FT9</t>
        </is>
      </c>
      <c r="B201" s="14" t="inlineStr">
        <is>
          <t>GPTE80</t>
        </is>
      </c>
      <c r="C201" s="14" t="inlineStr">
        <is>
          <t>FULL XL</t>
        </is>
      </c>
      <c r="D201" s="14" t="inlineStr">
        <is>
          <t>Zipper</t>
        </is>
      </c>
      <c r="E201" s="14" t="inlineStr">
        <is>
          <t>Nylon coil zipper #3</t>
        </is>
      </c>
      <c r="F201" s="14" t="inlineStr">
        <is>
          <t>Nylon</t>
        </is>
      </c>
      <c r="G201" s="14" t="inlineStr">
        <is>
          <t>4.65m per piece</t>
        </is>
      </c>
      <c r="H201" s="14" t="inlineStr">
        <is>
          <t>Around encasement perimeter</t>
        </is>
      </c>
      <c r="I201" s="14" t="inlineStr">
        <is>
          <t>Mattress protector</t>
        </is>
      </c>
      <c r="J201" s="20" t="n">
        <v>4.65</v>
      </c>
      <c r="K201" s="19" t="inlineStr">
        <is>
          <t>meters</t>
        </is>
      </c>
      <c r="L201" s="19" t="n">
        <v>2</v>
      </c>
      <c r="M201" s="17">
        <f>IFERROR(J201*(1+IFERROR(L201,0)/100)*VLOOKUP(B201,'1. Articles (SKUs)'!F:R,13,FALSE),"")</f>
        <v/>
      </c>
      <c r="N201" s="19" t="inlineStr"/>
    </row>
    <row r="202">
      <c r="A202" s="12" t="inlineStr">
        <is>
          <t>FT9</t>
        </is>
      </c>
      <c r="B202" s="12" t="inlineStr">
        <is>
          <t>GPTE80</t>
        </is>
      </c>
      <c r="C202" s="12" t="inlineStr">
        <is>
          <t>FULL XL</t>
        </is>
      </c>
      <c r="D202" s="12" t="inlineStr">
        <is>
          <t>Thread</t>
        </is>
      </c>
      <c r="E202" s="12" t="inlineStr">
        <is>
          <t>Polyester sewing thread</t>
        </is>
      </c>
      <c r="F202" s="12" t="inlineStr">
        <is>
          <t>100% polyester spun</t>
        </is>
      </c>
      <c r="G202" s="12" t="inlineStr">
        <is>
          <t>TEX40 or 40/2</t>
        </is>
      </c>
      <c r="H202" s="12" t="inlineStr">
        <is>
          <t>All seams</t>
        </is>
      </c>
      <c r="I202" s="12" t="inlineStr">
        <is>
          <t>Mattress protector</t>
        </is>
      </c>
      <c r="J202" s="18" t="n"/>
      <c r="K202" s="19" t="inlineStr">
        <is>
          <t>meters</t>
        </is>
      </c>
      <c r="L202" s="19" t="n">
        <v>3</v>
      </c>
      <c r="M202" s="16">
        <f>IFERROR(J202*(1+IFERROR(L202,0)/100)*VLOOKUP(B202,'1. Articles (SKUs)'!F:R,13,FALSE),"")</f>
        <v/>
      </c>
      <c r="N202" s="19" t="inlineStr"/>
    </row>
    <row r="203">
      <c r="A203" s="14" t="inlineStr">
        <is>
          <t>FT9</t>
        </is>
      </c>
      <c r="B203" s="14" t="inlineStr">
        <is>
          <t>GPTE80</t>
        </is>
      </c>
      <c r="C203" s="14" t="inlineStr">
        <is>
          <t>FULL XL</t>
        </is>
      </c>
      <c r="D203" s="14" t="inlineStr">
        <is>
          <t>Law Tag</t>
        </is>
      </c>
      <c r="E203" s="14" t="inlineStr">
        <is>
          <t>Non woven label with coating</t>
        </is>
      </c>
      <c r="F203" s="14" t="inlineStr">
        <is>
          <t>3M non woven material with white ground / black color font  (INK CANNOT DISCOLORATION AND STAIN ON PRODUCT)</t>
        </is>
      </c>
      <c r="G203" s="14" t="inlineStr">
        <is>
          <t>4.0cmX7.0cm</t>
        </is>
      </c>
      <c r="H203" s="14" t="inlineStr">
        <is>
          <t>Position of Law Tag label – Sewing at the middle of short si</t>
        </is>
      </c>
      <c r="I203" s="14" t="inlineStr">
        <is>
          <t>Law tag/Care label</t>
        </is>
      </c>
      <c r="J203" s="20" t="n">
        <v>1</v>
      </c>
      <c r="K203" s="20" t="inlineStr">
        <is>
          <t>pcs</t>
        </is>
      </c>
      <c r="L203" s="19" t="n">
        <v>2</v>
      </c>
      <c r="M203" s="17">
        <f>IFERROR(J203*(1+IFERROR(L203,0)/100)*VLOOKUP(B203,'1. Articles (SKUs)'!F:R,13,FALSE),"")</f>
        <v/>
      </c>
      <c r="N203" s="19" t="inlineStr"/>
    </row>
    <row r="204">
      <c r="A204" s="12" t="inlineStr">
        <is>
          <t>FT9</t>
        </is>
      </c>
      <c r="B204" s="12" t="inlineStr">
        <is>
          <t>GPTE80</t>
        </is>
      </c>
      <c r="C204" s="12" t="inlineStr">
        <is>
          <t>FULL XL</t>
        </is>
      </c>
      <c r="D204" s="12" t="inlineStr">
        <is>
          <t>Size Label</t>
        </is>
      </c>
      <c r="E204" s="12" t="inlineStr">
        <is>
          <t>Non woven label with coating</t>
        </is>
      </c>
      <c r="F204" s="12" t="inlineStr">
        <is>
          <t>3M non woven material with white ground / black color font  (INK CANNOT DISCOLORATION AND STAIN ON PRODUCT)</t>
        </is>
      </c>
      <c r="G204" s="12" t="inlineStr">
        <is>
          <t>4.0cmX3.0cm</t>
        </is>
      </c>
      <c r="H204" s="12" t="inlineStr">
        <is>
          <t>Next the law tag label</t>
        </is>
      </c>
      <c r="I204" s="12" t="inlineStr">
        <is>
          <t>Size label</t>
        </is>
      </c>
      <c r="J204" s="20" t="n">
        <v>1</v>
      </c>
      <c r="K204" s="20" t="inlineStr">
        <is>
          <t>pcs</t>
        </is>
      </c>
      <c r="L204" s="19" t="n">
        <v>2</v>
      </c>
      <c r="M204" s="16">
        <f>IFERROR(J204*(1+IFERROR(L204,0)/100)*VLOOKUP(B204,'1. Articles (SKUs)'!F:R,13,FALSE),"")</f>
        <v/>
      </c>
      <c r="N204" s="19" t="inlineStr"/>
    </row>
    <row r="205">
      <c r="A205" s="14" t="inlineStr">
        <is>
          <t>FT9</t>
        </is>
      </c>
      <c r="B205" s="14" t="inlineStr">
        <is>
          <t>GPTE80</t>
        </is>
      </c>
      <c r="C205" s="14" t="inlineStr">
        <is>
          <t>FULL XL</t>
        </is>
      </c>
      <c r="D205" s="14" t="inlineStr">
        <is>
          <t>Packaging</t>
        </is>
      </c>
      <c r="E205" s="14" t="inlineStr">
        <is>
          <t>Packaging type</t>
        </is>
      </c>
      <c r="F205" s="14" t="inlineStr">
        <is>
          <t>Color paper insert with vinyl PVC Bag with white bound seam &amp; inside cardboard wrapped by product(Stiffener)</t>
        </is>
      </c>
      <c r="G205" s="14" t="inlineStr"/>
      <c r="H205" s="14" t="inlineStr"/>
      <c r="I205" s="14" t="inlineStr">
        <is>
          <t>Main</t>
        </is>
      </c>
      <c r="J205" s="20" t="n">
        <v>1</v>
      </c>
      <c r="K205" s="20" t="inlineStr">
        <is>
          <t>pcs</t>
        </is>
      </c>
      <c r="L205" s="19" t="n">
        <v>2</v>
      </c>
      <c r="M205" s="17">
        <f>IFERROR(J205*(1+IFERROR(L205,0)/100)*VLOOKUP(B205,'1. Articles (SKUs)'!F:R,13,FALSE),"")</f>
        <v/>
      </c>
      <c r="N205" s="19" t="inlineStr"/>
    </row>
    <row r="206">
      <c r="A206" s="12" t="inlineStr">
        <is>
          <t>FT9</t>
        </is>
      </c>
      <c r="B206" s="12" t="inlineStr">
        <is>
          <t>GPTE80</t>
        </is>
      </c>
      <c r="C206" s="12" t="inlineStr">
        <is>
          <t>FULL XL</t>
        </is>
      </c>
      <c r="D206" s="12" t="inlineStr">
        <is>
          <t>PVC Bag</t>
        </is>
      </c>
      <c r="E206" s="12" t="inlineStr">
        <is>
          <t>Bag material</t>
        </is>
      </c>
      <c r="F206" s="12" t="inlineStr">
        <is>
          <t>12S (Thickness)- Transparent PVC Bag with 7S(Thickness) White PVC White Binding all around seam and 3# Nylon Coil White Zipper(No Hanger Loop on top)</t>
        </is>
      </c>
      <c r="G206" s="12" t="inlineStr"/>
      <c r="H206" s="12" t="inlineStr"/>
      <c r="I206" s="12" t="inlineStr">
        <is>
          <t>Mattress protector</t>
        </is>
      </c>
      <c r="J206" s="20" t="n">
        <v>1</v>
      </c>
      <c r="K206" s="20" t="inlineStr">
        <is>
          <t>pcs</t>
        </is>
      </c>
      <c r="L206" s="19" t="n">
        <v>2</v>
      </c>
      <c r="M206" s="16">
        <f>IFERROR(J206*(1+IFERROR(L206,0)/100)*VLOOKUP(B206,'1. Articles (SKUs)'!F:R,13,FALSE),"")</f>
        <v/>
      </c>
      <c r="N206" s="19" t="inlineStr"/>
    </row>
    <row r="207">
      <c r="A207" s="14" t="inlineStr">
        <is>
          <t>FT9</t>
        </is>
      </c>
      <c r="B207" s="14" t="inlineStr">
        <is>
          <t>GPTE80</t>
        </is>
      </c>
      <c r="C207" s="14" t="inlineStr">
        <is>
          <t>FULL XL</t>
        </is>
      </c>
      <c r="D207" s="14" t="inlineStr">
        <is>
          <t>Insert Card</t>
        </is>
      </c>
      <c r="E207" s="14" t="inlineStr">
        <is>
          <t>Color paper insert material</t>
        </is>
      </c>
      <c r="F207" s="14" t="inlineStr">
        <is>
          <t>Printed Insert quality -  INSERT (“U” Shape) - Insert Material: 250g-300g White Card Paper with Coating both side</t>
        </is>
      </c>
      <c r="G207" s="14" t="inlineStr"/>
      <c r="H207" s="14" t="inlineStr"/>
      <c r="I207" s="14" t="inlineStr">
        <is>
          <t>Mattress protector</t>
        </is>
      </c>
      <c r="J207" s="20" t="n">
        <v>1</v>
      </c>
      <c r="K207" s="20" t="inlineStr">
        <is>
          <t>pcs</t>
        </is>
      </c>
      <c r="L207" s="19" t="n">
        <v>2</v>
      </c>
      <c r="M207" s="17">
        <f>IFERROR(J207*(1+IFERROR(L207,0)/100)*VLOOKUP(B207,'1. Articles (SKUs)'!F:R,13,FALSE),"")</f>
        <v/>
      </c>
      <c r="N207" s="19" t="inlineStr"/>
    </row>
    <row r="208">
      <c r="A208" s="12" t="inlineStr">
        <is>
          <t>FT9</t>
        </is>
      </c>
      <c r="B208" s="12" t="inlineStr">
        <is>
          <t>GPTE80</t>
        </is>
      </c>
      <c r="C208" s="12" t="inlineStr">
        <is>
          <t>FULL XL</t>
        </is>
      </c>
      <c r="D208" s="12" t="inlineStr">
        <is>
          <t>Stiffener</t>
        </is>
      </c>
      <c r="E208" s="12" t="inlineStr">
        <is>
          <t>Cardboard material(Stiffener)</t>
        </is>
      </c>
      <c r="F208" s="12" t="inlineStr">
        <is>
          <t>Packaging inside need to put a “U”  1 ply thickness(1 layers with 1 layer corrugated ) in White Cardboard to maintain the shape before putting into the box</t>
        </is>
      </c>
      <c r="G208" s="12" t="inlineStr"/>
      <c r="H208" s="12" t="inlineStr"/>
      <c r="I208" s="12" t="inlineStr">
        <is>
          <t>Mattress protector</t>
        </is>
      </c>
      <c r="J208" s="20" t="n">
        <v>1</v>
      </c>
      <c r="K208" s="20" t="inlineStr">
        <is>
          <t>pcs</t>
        </is>
      </c>
      <c r="L208" s="19" t="n">
        <v>2</v>
      </c>
      <c r="M208" s="16">
        <f>IFERROR(J208*(1+IFERROR(L208,0)/100)*VLOOKUP(B208,'1. Articles (SKUs)'!F:R,13,FALSE),"")</f>
        <v/>
      </c>
      <c r="N208" s="19" t="inlineStr"/>
    </row>
    <row r="209">
      <c r="A209" s="14" t="inlineStr">
        <is>
          <t>FT9</t>
        </is>
      </c>
      <c r="B209" s="14" t="inlineStr">
        <is>
          <t>GPTE80</t>
        </is>
      </c>
      <c r="C209" s="14" t="inlineStr">
        <is>
          <t>FULL XL</t>
        </is>
      </c>
      <c r="D209" s="14" t="inlineStr">
        <is>
          <t>Size Sticker</t>
        </is>
      </c>
      <c r="E209" s="14" t="inlineStr">
        <is>
          <t>Size Sticker</t>
        </is>
      </c>
      <c r="F209" s="14" t="inlineStr">
        <is>
          <t>Direct print on insert</t>
        </is>
      </c>
      <c r="G209" s="14" t="inlineStr"/>
      <c r="H209" s="14" t="inlineStr"/>
      <c r="I209" s="14" t="inlineStr">
        <is>
          <t>Mattress protector</t>
        </is>
      </c>
      <c r="J209" s="20" t="n">
        <v>1</v>
      </c>
      <c r="K209" s="20" t="inlineStr">
        <is>
          <t>pcs</t>
        </is>
      </c>
      <c r="L209" s="19" t="n">
        <v>2</v>
      </c>
      <c r="M209" s="17">
        <f>IFERROR(J209*(1+IFERROR(L209,0)/100)*VLOOKUP(B209,'1. Articles (SKUs)'!F:R,13,FALSE),"")</f>
        <v/>
      </c>
      <c r="N209" s="19" t="inlineStr"/>
    </row>
    <row r="210">
      <c r="A210" s="12" t="inlineStr">
        <is>
          <t>FT9</t>
        </is>
      </c>
      <c r="B210" s="12" t="inlineStr">
        <is>
          <t>GPTE80</t>
        </is>
      </c>
      <c r="C210" s="12" t="inlineStr">
        <is>
          <t>FULL XL</t>
        </is>
      </c>
      <c r="D210" s="12" t="inlineStr">
        <is>
          <t>Barcode Sticker</t>
        </is>
      </c>
      <c r="E210" s="12" t="inlineStr">
        <is>
          <t>Barcode sticker</t>
        </is>
      </c>
      <c r="F210" s="12" t="inlineStr">
        <is>
          <t>All barcode (SKU) sticker must be stick on the PVC Bag (CANNOT PUT ON THE INSERT)</t>
        </is>
      </c>
      <c r="G210" s="12" t="inlineStr"/>
      <c r="H210" s="12" t="inlineStr"/>
      <c r="I210" s="12" t="inlineStr">
        <is>
          <t>Mattress protector</t>
        </is>
      </c>
      <c r="J210" s="20" t="n">
        <v>1</v>
      </c>
      <c r="K210" s="20" t="inlineStr">
        <is>
          <t>pcs</t>
        </is>
      </c>
      <c r="L210" s="19" t="n">
        <v>2</v>
      </c>
      <c r="M210" s="16">
        <f>IFERROR(J210*(1+IFERROR(L210,0)/100)*VLOOKUP(B210,'1. Articles (SKUs)'!F:R,13,FALSE),"")</f>
        <v/>
      </c>
      <c r="N210" s="19" t="inlineStr"/>
    </row>
    <row r="211">
      <c r="A211" s="14" t="inlineStr">
        <is>
          <t>FT9</t>
        </is>
      </c>
      <c r="B211" s="14" t="inlineStr">
        <is>
          <t>GPTE80</t>
        </is>
      </c>
      <c r="C211" s="14" t="inlineStr">
        <is>
          <t>FULL XL</t>
        </is>
      </c>
      <c r="D211" s="14" t="inlineStr">
        <is>
          <t>Barcode Sticker Size</t>
        </is>
      </c>
      <c r="E211" s="14" t="inlineStr">
        <is>
          <t>Barcode Sticker /Size</t>
        </is>
      </c>
      <c r="F211" s="14" t="inlineStr">
        <is>
          <t>White ground with black fonts / 76mmx23mm</t>
        </is>
      </c>
      <c r="G211" s="14" t="inlineStr"/>
      <c r="H211" s="14" t="inlineStr"/>
      <c r="I211" s="14" t="inlineStr">
        <is>
          <t>Mattress protector</t>
        </is>
      </c>
      <c r="J211" s="20" t="n">
        <v>1</v>
      </c>
      <c r="K211" s="20" t="inlineStr">
        <is>
          <t>pcs</t>
        </is>
      </c>
      <c r="L211" s="19" t="n">
        <v>2</v>
      </c>
      <c r="M211" s="17">
        <f>IFERROR(J211*(1+IFERROR(L211,0)/100)*VLOOKUP(B211,'1. Articles (SKUs)'!F:R,13,FALSE),"")</f>
        <v/>
      </c>
      <c r="N211" s="19" t="inlineStr"/>
    </row>
    <row r="212">
      <c r="A212" s="12" t="inlineStr">
        <is>
          <t>FT9</t>
        </is>
      </c>
      <c r="B212" s="12" t="inlineStr">
        <is>
          <t>GPTE80</t>
        </is>
      </c>
      <c r="C212" s="12" t="inlineStr">
        <is>
          <t>FULL XL</t>
        </is>
      </c>
      <c r="D212" s="12" t="inlineStr">
        <is>
          <t>Stiffener</t>
        </is>
      </c>
      <c r="E212" s="12" t="inlineStr">
        <is>
          <t>Cardboard</t>
        </is>
      </c>
      <c r="F212" s="12" t="inlineStr">
        <is>
          <t>Packaging inside need to put a “U”  1 ply thickness(1 layers with 1 layer corrugated ) in White Cardboard to maintain the shape before putting into the box</t>
        </is>
      </c>
      <c r="G212" s="12" t="inlineStr"/>
      <c r="H212" s="12" t="inlineStr"/>
      <c r="I212" s="12" t="inlineStr">
        <is>
          <t>Mattress protector</t>
        </is>
      </c>
      <c r="J212" s="20" t="n">
        <v>1</v>
      </c>
      <c r="K212" s="20" t="inlineStr">
        <is>
          <t>pcs</t>
        </is>
      </c>
      <c r="L212" s="19" t="n">
        <v>2</v>
      </c>
      <c r="M212" s="16">
        <f>IFERROR(J212*(1+IFERROR(L212,0)/100)*VLOOKUP(B212,'1. Articles (SKUs)'!F:R,13,FALSE),"")</f>
        <v/>
      </c>
      <c r="N212" s="19" t="inlineStr"/>
    </row>
    <row r="213">
      <c r="A213" s="14" t="inlineStr">
        <is>
          <t>FT9</t>
        </is>
      </c>
      <c r="B213" s="14" t="inlineStr">
        <is>
          <t>GPTE80</t>
        </is>
      </c>
      <c r="C213" s="14" t="inlineStr">
        <is>
          <t>FULL XL</t>
        </is>
      </c>
      <c r="D213" s="14" t="inlineStr">
        <is>
          <t>Stiffener Size</t>
        </is>
      </c>
      <c r="E213" s="14" t="inlineStr">
        <is>
          <t>cardboard size</t>
        </is>
      </c>
      <c r="F213" s="14" t="inlineStr">
        <is>
          <t>Please refer spec sheet</t>
        </is>
      </c>
      <c r="G213" s="14" t="inlineStr"/>
      <c r="H213" s="14" t="inlineStr"/>
      <c r="I213" s="14" t="inlineStr">
        <is>
          <t>Mattress protector</t>
        </is>
      </c>
      <c r="J213" s="20" t="n">
        <v>1</v>
      </c>
      <c r="K213" s="20" t="inlineStr">
        <is>
          <t>pcs</t>
        </is>
      </c>
      <c r="L213" s="19" t="n">
        <v>2</v>
      </c>
      <c r="M213" s="17">
        <f>IFERROR(J213*(1+IFERROR(L213,0)/100)*VLOOKUP(B213,'1. Articles (SKUs)'!F:R,13,FALSE),"")</f>
        <v/>
      </c>
      <c r="N213" s="19" t="inlineStr"/>
    </row>
    <row r="214">
      <c r="A214" s="12" t="inlineStr">
        <is>
          <t>FT9</t>
        </is>
      </c>
      <c r="B214" s="12" t="inlineStr">
        <is>
          <t>GPTE50</t>
        </is>
      </c>
      <c r="C214" s="12" t="inlineStr">
        <is>
          <t>QUEEN</t>
        </is>
      </c>
      <c r="D214" s="12" t="inlineStr">
        <is>
          <t>Zipper</t>
        </is>
      </c>
      <c r="E214" s="12" t="inlineStr">
        <is>
          <t>Nylon coil zipper #3</t>
        </is>
      </c>
      <c r="F214" s="12" t="inlineStr">
        <is>
          <t>Nylon</t>
        </is>
      </c>
      <c r="G214" s="12" t="inlineStr">
        <is>
          <t>4.82m per piece</t>
        </is>
      </c>
      <c r="H214" s="12" t="inlineStr">
        <is>
          <t>Around encasement perimeter</t>
        </is>
      </c>
      <c r="I214" s="12" t="inlineStr">
        <is>
          <t>Mattress protector</t>
        </is>
      </c>
      <c r="J214" s="20" t="n">
        <v>4.82</v>
      </c>
      <c r="K214" s="19" t="inlineStr">
        <is>
          <t>meters</t>
        </is>
      </c>
      <c r="L214" s="19" t="n">
        <v>2</v>
      </c>
      <c r="M214" s="16">
        <f>IFERROR(J214*(1+IFERROR(L214,0)/100)*VLOOKUP(B214,'1. Articles (SKUs)'!F:R,13,FALSE),"")</f>
        <v/>
      </c>
      <c r="N214" s="19" t="inlineStr"/>
    </row>
    <row r="215">
      <c r="A215" s="14" t="inlineStr">
        <is>
          <t>FT9</t>
        </is>
      </c>
      <c r="B215" s="14" t="inlineStr">
        <is>
          <t>GPTE50</t>
        </is>
      </c>
      <c r="C215" s="14" t="inlineStr">
        <is>
          <t>QUEEN</t>
        </is>
      </c>
      <c r="D215" s="14" t="inlineStr">
        <is>
          <t>Thread</t>
        </is>
      </c>
      <c r="E215" s="14" t="inlineStr">
        <is>
          <t>Polyester sewing thread</t>
        </is>
      </c>
      <c r="F215" s="14" t="inlineStr">
        <is>
          <t>100% polyester spun</t>
        </is>
      </c>
      <c r="G215" s="14" t="inlineStr">
        <is>
          <t>TEX40 or 40/2</t>
        </is>
      </c>
      <c r="H215" s="14" t="inlineStr">
        <is>
          <t>All seams</t>
        </is>
      </c>
      <c r="I215" s="14" t="inlineStr">
        <is>
          <t>Mattress protector</t>
        </is>
      </c>
      <c r="J215" s="18" t="n"/>
      <c r="K215" s="19" t="inlineStr">
        <is>
          <t>meters</t>
        </is>
      </c>
      <c r="L215" s="19" t="n">
        <v>3</v>
      </c>
      <c r="M215" s="17">
        <f>IFERROR(J215*(1+IFERROR(L215,0)/100)*VLOOKUP(B215,'1. Articles (SKUs)'!F:R,13,FALSE),"")</f>
        <v/>
      </c>
      <c r="N215" s="19" t="inlineStr"/>
    </row>
    <row r="216">
      <c r="A216" s="12" t="inlineStr">
        <is>
          <t>FT9</t>
        </is>
      </c>
      <c r="B216" s="12" t="inlineStr">
        <is>
          <t>GPTE50</t>
        </is>
      </c>
      <c r="C216" s="12" t="inlineStr">
        <is>
          <t>QUEEN</t>
        </is>
      </c>
      <c r="D216" s="12" t="inlineStr">
        <is>
          <t>Law Tag</t>
        </is>
      </c>
      <c r="E216" s="12" t="inlineStr">
        <is>
          <t>Non woven label with coating</t>
        </is>
      </c>
      <c r="F216" s="12" t="inlineStr">
        <is>
          <t>3M non woven material with white ground / black color font  (INK CANNOT DISCOLORATION AND STAIN ON PRODUCT)</t>
        </is>
      </c>
      <c r="G216" s="12" t="inlineStr">
        <is>
          <t>4.0cmX7.0cm</t>
        </is>
      </c>
      <c r="H216" s="12" t="inlineStr">
        <is>
          <t>Position of Law Tag label – Sewing at the middle of short si</t>
        </is>
      </c>
      <c r="I216" s="12" t="inlineStr">
        <is>
          <t>Law tag/Care label</t>
        </is>
      </c>
      <c r="J216" s="20" t="n">
        <v>1</v>
      </c>
      <c r="K216" s="20" t="inlineStr">
        <is>
          <t>pcs</t>
        </is>
      </c>
      <c r="L216" s="19" t="n">
        <v>2</v>
      </c>
      <c r="M216" s="16">
        <f>IFERROR(J216*(1+IFERROR(L216,0)/100)*VLOOKUP(B216,'1. Articles (SKUs)'!F:R,13,FALSE),"")</f>
        <v/>
      </c>
      <c r="N216" s="19" t="inlineStr"/>
    </row>
    <row r="217">
      <c r="A217" s="14" t="inlineStr">
        <is>
          <t>FT9</t>
        </is>
      </c>
      <c r="B217" s="14" t="inlineStr">
        <is>
          <t>GPTE50</t>
        </is>
      </c>
      <c r="C217" s="14" t="inlineStr">
        <is>
          <t>QUEEN</t>
        </is>
      </c>
      <c r="D217" s="14" t="inlineStr">
        <is>
          <t>Size Label</t>
        </is>
      </c>
      <c r="E217" s="14" t="inlineStr">
        <is>
          <t>Non woven label with coating</t>
        </is>
      </c>
      <c r="F217" s="14" t="inlineStr">
        <is>
          <t>3M non woven material with white ground / black color font  (INK CANNOT DISCOLORATION AND STAIN ON PRODUCT)</t>
        </is>
      </c>
      <c r="G217" s="14" t="inlineStr">
        <is>
          <t>4.0cmX3.0cm</t>
        </is>
      </c>
      <c r="H217" s="14" t="inlineStr">
        <is>
          <t>Next the law tag label</t>
        </is>
      </c>
      <c r="I217" s="14" t="inlineStr">
        <is>
          <t>Size label</t>
        </is>
      </c>
      <c r="J217" s="20" t="n">
        <v>1</v>
      </c>
      <c r="K217" s="20" t="inlineStr">
        <is>
          <t>pcs</t>
        </is>
      </c>
      <c r="L217" s="19" t="n">
        <v>2</v>
      </c>
      <c r="M217" s="17">
        <f>IFERROR(J217*(1+IFERROR(L217,0)/100)*VLOOKUP(B217,'1. Articles (SKUs)'!F:R,13,FALSE),"")</f>
        <v/>
      </c>
      <c r="N217" s="19" t="inlineStr"/>
    </row>
    <row r="218">
      <c r="A218" s="12" t="inlineStr">
        <is>
          <t>FT9</t>
        </is>
      </c>
      <c r="B218" s="12" t="inlineStr">
        <is>
          <t>GPTE50</t>
        </is>
      </c>
      <c r="C218" s="12" t="inlineStr">
        <is>
          <t>QUEEN</t>
        </is>
      </c>
      <c r="D218" s="12" t="inlineStr">
        <is>
          <t>Packaging</t>
        </is>
      </c>
      <c r="E218" s="12" t="inlineStr">
        <is>
          <t>Packaging type</t>
        </is>
      </c>
      <c r="F218" s="12" t="inlineStr">
        <is>
          <t>Color paper insert with vinyl PVC Bag with white bound seam &amp; inside cardboard wrapped by product(Stiffener)</t>
        </is>
      </c>
      <c r="G218" s="12" t="inlineStr"/>
      <c r="H218" s="12" t="inlineStr"/>
      <c r="I218" s="12" t="inlineStr">
        <is>
          <t>Main</t>
        </is>
      </c>
      <c r="J218" s="20" t="n">
        <v>1</v>
      </c>
      <c r="K218" s="20" t="inlineStr">
        <is>
          <t>pcs</t>
        </is>
      </c>
      <c r="L218" s="19" t="n">
        <v>2</v>
      </c>
      <c r="M218" s="16">
        <f>IFERROR(J218*(1+IFERROR(L218,0)/100)*VLOOKUP(B218,'1. Articles (SKUs)'!F:R,13,FALSE),"")</f>
        <v/>
      </c>
      <c r="N218" s="19" t="inlineStr"/>
    </row>
    <row r="219">
      <c r="A219" s="14" t="inlineStr">
        <is>
          <t>FT9</t>
        </is>
      </c>
      <c r="B219" s="14" t="inlineStr">
        <is>
          <t>GPTE50</t>
        </is>
      </c>
      <c r="C219" s="14" t="inlineStr">
        <is>
          <t>QUEEN</t>
        </is>
      </c>
      <c r="D219" s="14" t="inlineStr">
        <is>
          <t>PVC Bag</t>
        </is>
      </c>
      <c r="E219" s="14" t="inlineStr">
        <is>
          <t>Bag material</t>
        </is>
      </c>
      <c r="F219" s="14" t="inlineStr">
        <is>
          <t>12S (Thickness)- Transparent PVC Bag with 7S(Thickness) White PVC White Binding all around seam and 3# Nylon Coil White Zipper(No Hanger Loop on top)</t>
        </is>
      </c>
      <c r="G219" s="14" t="inlineStr"/>
      <c r="H219" s="14" t="inlineStr"/>
      <c r="I219" s="14" t="inlineStr">
        <is>
          <t>Mattress protector</t>
        </is>
      </c>
      <c r="J219" s="20" t="n">
        <v>1</v>
      </c>
      <c r="K219" s="20" t="inlineStr">
        <is>
          <t>pcs</t>
        </is>
      </c>
      <c r="L219" s="19" t="n">
        <v>2</v>
      </c>
      <c r="M219" s="17">
        <f>IFERROR(J219*(1+IFERROR(L219,0)/100)*VLOOKUP(B219,'1. Articles (SKUs)'!F:R,13,FALSE),"")</f>
        <v/>
      </c>
      <c r="N219" s="19" t="inlineStr"/>
    </row>
    <row r="220">
      <c r="A220" s="12" t="inlineStr">
        <is>
          <t>FT9</t>
        </is>
      </c>
      <c r="B220" s="12" t="inlineStr">
        <is>
          <t>GPTE50</t>
        </is>
      </c>
      <c r="C220" s="12" t="inlineStr">
        <is>
          <t>QUEEN</t>
        </is>
      </c>
      <c r="D220" s="12" t="inlineStr">
        <is>
          <t>Insert Card</t>
        </is>
      </c>
      <c r="E220" s="12" t="inlineStr">
        <is>
          <t>Color paper insert material</t>
        </is>
      </c>
      <c r="F220" s="12" t="inlineStr">
        <is>
          <t>Printed Insert quality -  INSERT (“U” Shape) - Insert Material: 250g-300g White Card Paper with Coating both side</t>
        </is>
      </c>
      <c r="G220" s="12" t="inlineStr"/>
      <c r="H220" s="12" t="inlineStr"/>
      <c r="I220" s="12" t="inlineStr">
        <is>
          <t>Mattress protector</t>
        </is>
      </c>
      <c r="J220" s="20" t="n">
        <v>1</v>
      </c>
      <c r="K220" s="20" t="inlineStr">
        <is>
          <t>pcs</t>
        </is>
      </c>
      <c r="L220" s="19" t="n">
        <v>2</v>
      </c>
      <c r="M220" s="16">
        <f>IFERROR(J220*(1+IFERROR(L220,0)/100)*VLOOKUP(B220,'1. Articles (SKUs)'!F:R,13,FALSE),"")</f>
        <v/>
      </c>
      <c r="N220" s="19" t="inlineStr"/>
    </row>
    <row r="221">
      <c r="A221" s="14" t="inlineStr">
        <is>
          <t>FT9</t>
        </is>
      </c>
      <c r="B221" s="14" t="inlineStr">
        <is>
          <t>GPTE50</t>
        </is>
      </c>
      <c r="C221" s="14" t="inlineStr">
        <is>
          <t>QUEEN</t>
        </is>
      </c>
      <c r="D221" s="14" t="inlineStr">
        <is>
          <t>Stiffener</t>
        </is>
      </c>
      <c r="E221" s="14" t="inlineStr">
        <is>
          <t>Cardboard material(Stiffener)</t>
        </is>
      </c>
      <c r="F221" s="14" t="inlineStr">
        <is>
          <t>Packaging inside need to put a “U”  1 ply thickness(1 layers with 1 layer corrugated ) in White Cardboard to maintain the shape before putting into the box</t>
        </is>
      </c>
      <c r="G221" s="14" t="inlineStr"/>
      <c r="H221" s="14" t="inlineStr"/>
      <c r="I221" s="14" t="inlineStr">
        <is>
          <t>Mattress protector</t>
        </is>
      </c>
      <c r="J221" s="20" t="n">
        <v>1</v>
      </c>
      <c r="K221" s="20" t="inlineStr">
        <is>
          <t>pcs</t>
        </is>
      </c>
      <c r="L221" s="19" t="n">
        <v>2</v>
      </c>
      <c r="M221" s="17">
        <f>IFERROR(J221*(1+IFERROR(L221,0)/100)*VLOOKUP(B221,'1. Articles (SKUs)'!F:R,13,FALSE),"")</f>
        <v/>
      </c>
      <c r="N221" s="19" t="inlineStr"/>
    </row>
    <row r="222">
      <c r="A222" s="12" t="inlineStr">
        <is>
          <t>FT9</t>
        </is>
      </c>
      <c r="B222" s="12" t="inlineStr">
        <is>
          <t>GPTE50</t>
        </is>
      </c>
      <c r="C222" s="12" t="inlineStr">
        <is>
          <t>QUEEN</t>
        </is>
      </c>
      <c r="D222" s="12" t="inlineStr">
        <is>
          <t>Size Sticker</t>
        </is>
      </c>
      <c r="E222" s="12" t="inlineStr">
        <is>
          <t>Size Sticker</t>
        </is>
      </c>
      <c r="F222" s="12" t="inlineStr">
        <is>
          <t>Direct print on insert</t>
        </is>
      </c>
      <c r="G222" s="12" t="inlineStr"/>
      <c r="H222" s="12" t="inlineStr"/>
      <c r="I222" s="12" t="inlineStr">
        <is>
          <t>Mattress protector</t>
        </is>
      </c>
      <c r="J222" s="20" t="n">
        <v>1</v>
      </c>
      <c r="K222" s="20" t="inlineStr">
        <is>
          <t>pcs</t>
        </is>
      </c>
      <c r="L222" s="19" t="n">
        <v>2</v>
      </c>
      <c r="M222" s="16">
        <f>IFERROR(J222*(1+IFERROR(L222,0)/100)*VLOOKUP(B222,'1. Articles (SKUs)'!F:R,13,FALSE),"")</f>
        <v/>
      </c>
      <c r="N222" s="19" t="inlineStr"/>
    </row>
    <row r="223">
      <c r="A223" s="14" t="inlineStr">
        <is>
          <t>FT9</t>
        </is>
      </c>
      <c r="B223" s="14" t="inlineStr">
        <is>
          <t>GPTE50</t>
        </is>
      </c>
      <c r="C223" s="14" t="inlineStr">
        <is>
          <t>QUEEN</t>
        </is>
      </c>
      <c r="D223" s="14" t="inlineStr">
        <is>
          <t>Barcode Sticker</t>
        </is>
      </c>
      <c r="E223" s="14" t="inlineStr">
        <is>
          <t>Barcode sticker</t>
        </is>
      </c>
      <c r="F223" s="14" t="inlineStr">
        <is>
          <t>All barcode (SKU) sticker must be stick on the PVC Bag (CANNOT PUT ON THE INSERT)</t>
        </is>
      </c>
      <c r="G223" s="14" t="inlineStr"/>
      <c r="H223" s="14" t="inlineStr"/>
      <c r="I223" s="14" t="inlineStr">
        <is>
          <t>Mattress protector</t>
        </is>
      </c>
      <c r="J223" s="20" t="n">
        <v>1</v>
      </c>
      <c r="K223" s="20" t="inlineStr">
        <is>
          <t>pcs</t>
        </is>
      </c>
      <c r="L223" s="19" t="n">
        <v>2</v>
      </c>
      <c r="M223" s="17">
        <f>IFERROR(J223*(1+IFERROR(L223,0)/100)*VLOOKUP(B223,'1. Articles (SKUs)'!F:R,13,FALSE),"")</f>
        <v/>
      </c>
      <c r="N223" s="19" t="inlineStr"/>
    </row>
    <row r="224">
      <c r="A224" s="12" t="inlineStr">
        <is>
          <t>FT9</t>
        </is>
      </c>
      <c r="B224" s="12" t="inlineStr">
        <is>
          <t>GPTE50</t>
        </is>
      </c>
      <c r="C224" s="12" t="inlineStr">
        <is>
          <t>QUEEN</t>
        </is>
      </c>
      <c r="D224" s="12" t="inlineStr">
        <is>
          <t>Barcode Sticker Size</t>
        </is>
      </c>
      <c r="E224" s="12" t="inlineStr">
        <is>
          <t>Barcode Sticker /Size</t>
        </is>
      </c>
      <c r="F224" s="12" t="inlineStr">
        <is>
          <t>White ground with black fonts / 76mmx23mm</t>
        </is>
      </c>
      <c r="G224" s="12" t="inlineStr"/>
      <c r="H224" s="12" t="inlineStr"/>
      <c r="I224" s="12" t="inlineStr">
        <is>
          <t>Mattress protector</t>
        </is>
      </c>
      <c r="J224" s="20" t="n">
        <v>1</v>
      </c>
      <c r="K224" s="20" t="inlineStr">
        <is>
          <t>pcs</t>
        </is>
      </c>
      <c r="L224" s="19" t="n">
        <v>2</v>
      </c>
      <c r="M224" s="16">
        <f>IFERROR(J224*(1+IFERROR(L224,0)/100)*VLOOKUP(B224,'1. Articles (SKUs)'!F:R,13,FALSE),"")</f>
        <v/>
      </c>
      <c r="N224" s="19" t="inlineStr"/>
    </row>
    <row r="225">
      <c r="A225" s="14" t="inlineStr">
        <is>
          <t>FT9</t>
        </is>
      </c>
      <c r="B225" s="14" t="inlineStr">
        <is>
          <t>GPTE50</t>
        </is>
      </c>
      <c r="C225" s="14" t="inlineStr">
        <is>
          <t>QUEEN</t>
        </is>
      </c>
      <c r="D225" s="14" t="inlineStr">
        <is>
          <t>Stiffener</t>
        </is>
      </c>
      <c r="E225" s="14" t="inlineStr">
        <is>
          <t>Cardboard</t>
        </is>
      </c>
      <c r="F225" s="14" t="inlineStr">
        <is>
          <t>Packaging inside need to put a “U”  1 ply thickness(1 layers with 1 layer corrugated ) in White Cardboard to maintain the shape before putting into the box</t>
        </is>
      </c>
      <c r="G225" s="14" t="inlineStr"/>
      <c r="H225" s="14" t="inlineStr"/>
      <c r="I225" s="14" t="inlineStr">
        <is>
          <t>Mattress protector</t>
        </is>
      </c>
      <c r="J225" s="20" t="n">
        <v>1</v>
      </c>
      <c r="K225" s="20" t="inlineStr">
        <is>
          <t>pcs</t>
        </is>
      </c>
      <c r="L225" s="19" t="n">
        <v>2</v>
      </c>
      <c r="M225" s="17">
        <f>IFERROR(J225*(1+IFERROR(L225,0)/100)*VLOOKUP(B225,'1. Articles (SKUs)'!F:R,13,FALSE),"")</f>
        <v/>
      </c>
      <c r="N225" s="19" t="inlineStr"/>
    </row>
    <row r="226">
      <c r="A226" s="12" t="inlineStr">
        <is>
          <t>FT9</t>
        </is>
      </c>
      <c r="B226" s="12" t="inlineStr">
        <is>
          <t>GPTE50</t>
        </is>
      </c>
      <c r="C226" s="12" t="inlineStr">
        <is>
          <t>QUEEN</t>
        </is>
      </c>
      <c r="D226" s="12" t="inlineStr">
        <is>
          <t>Stiffener Size</t>
        </is>
      </c>
      <c r="E226" s="12" t="inlineStr">
        <is>
          <t>cardboard size</t>
        </is>
      </c>
      <c r="F226" s="12" t="inlineStr">
        <is>
          <t>Please refer spec sheet</t>
        </is>
      </c>
      <c r="G226" s="12" t="inlineStr"/>
      <c r="H226" s="12" t="inlineStr"/>
      <c r="I226" s="12" t="inlineStr">
        <is>
          <t>Mattress protector</t>
        </is>
      </c>
      <c r="J226" s="20" t="n">
        <v>1</v>
      </c>
      <c r="K226" s="20" t="inlineStr">
        <is>
          <t>pcs</t>
        </is>
      </c>
      <c r="L226" s="19" t="n">
        <v>2</v>
      </c>
      <c r="M226" s="16">
        <f>IFERROR(J226*(1+IFERROR(L226,0)/100)*VLOOKUP(B226,'1. Articles (SKUs)'!F:R,13,FALSE),"")</f>
        <v/>
      </c>
      <c r="N226" s="19" t="inlineStr"/>
    </row>
    <row r="227">
      <c r="A227" s="14" t="inlineStr">
        <is>
          <t>FT9</t>
        </is>
      </c>
      <c r="B227" s="14" t="inlineStr">
        <is>
          <t>GPTE78</t>
        </is>
      </c>
      <c r="C227" s="14" t="inlineStr">
        <is>
          <t>KING</t>
        </is>
      </c>
      <c r="D227" s="14" t="inlineStr">
        <is>
          <t>Zipper</t>
        </is>
      </c>
      <c r="E227" s="14" t="inlineStr">
        <is>
          <t>Nylon coil zipper #3</t>
        </is>
      </c>
      <c r="F227" s="14" t="inlineStr">
        <is>
          <t>Nylon</t>
        </is>
      </c>
      <c r="G227" s="14" t="inlineStr">
        <is>
          <t>5.28m per piece</t>
        </is>
      </c>
      <c r="H227" s="14" t="inlineStr">
        <is>
          <t>Around encasement perimeter</t>
        </is>
      </c>
      <c r="I227" s="14" t="inlineStr">
        <is>
          <t>Mattress protector</t>
        </is>
      </c>
      <c r="J227" s="20" t="n">
        <v>5.28</v>
      </c>
      <c r="K227" s="19" t="inlineStr">
        <is>
          <t>meters</t>
        </is>
      </c>
      <c r="L227" s="19" t="n">
        <v>2</v>
      </c>
      <c r="M227" s="17">
        <f>IFERROR(J227*(1+IFERROR(L227,0)/100)*VLOOKUP(B227,'1. Articles (SKUs)'!F:R,13,FALSE),"")</f>
        <v/>
      </c>
      <c r="N227" s="19" t="inlineStr"/>
    </row>
    <row r="228">
      <c r="A228" s="12" t="inlineStr">
        <is>
          <t>FT9</t>
        </is>
      </c>
      <c r="B228" s="12" t="inlineStr">
        <is>
          <t>GPTE78</t>
        </is>
      </c>
      <c r="C228" s="12" t="inlineStr">
        <is>
          <t>KING</t>
        </is>
      </c>
      <c r="D228" s="12" t="inlineStr">
        <is>
          <t>Thread</t>
        </is>
      </c>
      <c r="E228" s="12" t="inlineStr">
        <is>
          <t>Polyester sewing thread</t>
        </is>
      </c>
      <c r="F228" s="12" t="inlineStr">
        <is>
          <t>100% polyester spun</t>
        </is>
      </c>
      <c r="G228" s="12" t="inlineStr">
        <is>
          <t>TEX40 or 40/2</t>
        </is>
      </c>
      <c r="H228" s="12" t="inlineStr">
        <is>
          <t>All seams</t>
        </is>
      </c>
      <c r="I228" s="12" t="inlineStr">
        <is>
          <t>Mattress protector</t>
        </is>
      </c>
      <c r="J228" s="18" t="n"/>
      <c r="K228" s="19" t="inlineStr">
        <is>
          <t>meters</t>
        </is>
      </c>
      <c r="L228" s="19" t="n">
        <v>3</v>
      </c>
      <c r="M228" s="16">
        <f>IFERROR(J228*(1+IFERROR(L228,0)/100)*VLOOKUP(B228,'1. Articles (SKUs)'!F:R,13,FALSE),"")</f>
        <v/>
      </c>
      <c r="N228" s="19" t="inlineStr"/>
    </row>
    <row r="229">
      <c r="A229" s="14" t="inlineStr">
        <is>
          <t>FT9</t>
        </is>
      </c>
      <c r="B229" s="14" t="inlineStr">
        <is>
          <t>GPTE78</t>
        </is>
      </c>
      <c r="C229" s="14" t="inlineStr">
        <is>
          <t>KING</t>
        </is>
      </c>
      <c r="D229" s="14" t="inlineStr">
        <is>
          <t>Law Tag</t>
        </is>
      </c>
      <c r="E229" s="14" t="inlineStr">
        <is>
          <t>Non woven label with coating</t>
        </is>
      </c>
      <c r="F229" s="14" t="inlineStr">
        <is>
          <t>3M non woven material with white ground / black color font  (INK CANNOT DISCOLORATION AND STAIN ON PRODUCT)</t>
        </is>
      </c>
      <c r="G229" s="14" t="inlineStr">
        <is>
          <t>4.0cmX7.0cm</t>
        </is>
      </c>
      <c r="H229" s="14" t="inlineStr">
        <is>
          <t>Position of Law Tag label – Sewing at the middle of short si</t>
        </is>
      </c>
      <c r="I229" s="14" t="inlineStr">
        <is>
          <t>Law tag/Care label</t>
        </is>
      </c>
      <c r="J229" s="20" t="n">
        <v>1</v>
      </c>
      <c r="K229" s="20" t="inlineStr">
        <is>
          <t>pcs</t>
        </is>
      </c>
      <c r="L229" s="19" t="n">
        <v>2</v>
      </c>
      <c r="M229" s="17">
        <f>IFERROR(J229*(1+IFERROR(L229,0)/100)*VLOOKUP(B229,'1. Articles (SKUs)'!F:R,13,FALSE),"")</f>
        <v/>
      </c>
      <c r="N229" s="19" t="inlineStr"/>
    </row>
    <row r="230">
      <c r="A230" s="12" t="inlineStr">
        <is>
          <t>FT9</t>
        </is>
      </c>
      <c r="B230" s="12" t="inlineStr">
        <is>
          <t>GPTE78</t>
        </is>
      </c>
      <c r="C230" s="12" t="inlineStr">
        <is>
          <t>KING</t>
        </is>
      </c>
      <c r="D230" s="12" t="inlineStr">
        <is>
          <t>Size Label</t>
        </is>
      </c>
      <c r="E230" s="12" t="inlineStr">
        <is>
          <t>Non woven label with coating</t>
        </is>
      </c>
      <c r="F230" s="12" t="inlineStr">
        <is>
          <t>3M non woven material with white ground / black color font  (INK CANNOT DISCOLORATION AND STAIN ON PRODUCT)</t>
        </is>
      </c>
      <c r="G230" s="12" t="inlineStr">
        <is>
          <t>4.0cmX3.0cm</t>
        </is>
      </c>
      <c r="H230" s="12" t="inlineStr">
        <is>
          <t>Next the law tag label</t>
        </is>
      </c>
      <c r="I230" s="12" t="inlineStr">
        <is>
          <t>Size label</t>
        </is>
      </c>
      <c r="J230" s="20" t="n">
        <v>1</v>
      </c>
      <c r="K230" s="20" t="inlineStr">
        <is>
          <t>pcs</t>
        </is>
      </c>
      <c r="L230" s="19" t="n">
        <v>2</v>
      </c>
      <c r="M230" s="16">
        <f>IFERROR(J230*(1+IFERROR(L230,0)/100)*VLOOKUP(B230,'1. Articles (SKUs)'!F:R,13,FALSE),"")</f>
        <v/>
      </c>
      <c r="N230" s="19" t="inlineStr"/>
    </row>
    <row r="231">
      <c r="A231" s="14" t="inlineStr">
        <is>
          <t>FT9</t>
        </is>
      </c>
      <c r="B231" s="14" t="inlineStr">
        <is>
          <t>GPTE78</t>
        </is>
      </c>
      <c r="C231" s="14" t="inlineStr">
        <is>
          <t>KING</t>
        </is>
      </c>
      <c r="D231" s="14" t="inlineStr">
        <is>
          <t>Packaging</t>
        </is>
      </c>
      <c r="E231" s="14" t="inlineStr">
        <is>
          <t>Packaging type</t>
        </is>
      </c>
      <c r="F231" s="14" t="inlineStr">
        <is>
          <t>Color paper insert with vinyl PVC Bag with white bound seam &amp; inside cardboard wrapped by product(Stiffener)</t>
        </is>
      </c>
      <c r="G231" s="14" t="inlineStr"/>
      <c r="H231" s="14" t="inlineStr"/>
      <c r="I231" s="14" t="inlineStr">
        <is>
          <t>Main</t>
        </is>
      </c>
      <c r="J231" s="20" t="n">
        <v>1</v>
      </c>
      <c r="K231" s="20" t="inlineStr">
        <is>
          <t>pcs</t>
        </is>
      </c>
      <c r="L231" s="19" t="n">
        <v>2</v>
      </c>
      <c r="M231" s="17">
        <f>IFERROR(J231*(1+IFERROR(L231,0)/100)*VLOOKUP(B231,'1. Articles (SKUs)'!F:R,13,FALSE),"")</f>
        <v/>
      </c>
      <c r="N231" s="19" t="inlineStr"/>
    </row>
    <row r="232">
      <c r="A232" s="12" t="inlineStr">
        <is>
          <t>FT9</t>
        </is>
      </c>
      <c r="B232" s="12" t="inlineStr">
        <is>
          <t>GPTE78</t>
        </is>
      </c>
      <c r="C232" s="12" t="inlineStr">
        <is>
          <t>KING</t>
        </is>
      </c>
      <c r="D232" s="12" t="inlineStr">
        <is>
          <t>PVC Bag</t>
        </is>
      </c>
      <c r="E232" s="12" t="inlineStr">
        <is>
          <t>Bag material</t>
        </is>
      </c>
      <c r="F232" s="12" t="inlineStr">
        <is>
          <t>12S (Thickness)- Transparent PVC Bag with 7S(Thickness) White PVC White Binding all around seam and 3# Nylon Coil White Zipper(No Hanger Loop on top)</t>
        </is>
      </c>
      <c r="G232" s="12" t="inlineStr"/>
      <c r="H232" s="12" t="inlineStr"/>
      <c r="I232" s="12" t="inlineStr">
        <is>
          <t>Mattress protector</t>
        </is>
      </c>
      <c r="J232" s="20" t="n">
        <v>1</v>
      </c>
      <c r="K232" s="20" t="inlineStr">
        <is>
          <t>pcs</t>
        </is>
      </c>
      <c r="L232" s="19" t="n">
        <v>2</v>
      </c>
      <c r="M232" s="16">
        <f>IFERROR(J232*(1+IFERROR(L232,0)/100)*VLOOKUP(B232,'1. Articles (SKUs)'!F:R,13,FALSE),"")</f>
        <v/>
      </c>
      <c r="N232" s="19" t="inlineStr"/>
    </row>
    <row r="233">
      <c r="A233" s="14" t="inlineStr">
        <is>
          <t>FT9</t>
        </is>
      </c>
      <c r="B233" s="14" t="inlineStr">
        <is>
          <t>GPTE78</t>
        </is>
      </c>
      <c r="C233" s="14" t="inlineStr">
        <is>
          <t>KING</t>
        </is>
      </c>
      <c r="D233" s="14" t="inlineStr">
        <is>
          <t>Insert Card</t>
        </is>
      </c>
      <c r="E233" s="14" t="inlineStr">
        <is>
          <t>Color paper insert material</t>
        </is>
      </c>
      <c r="F233" s="14" t="inlineStr">
        <is>
          <t>Printed Insert quality -  INSERT (“U” Shape) - Insert Material: 250g-300g White Card Paper with Coating both side</t>
        </is>
      </c>
      <c r="G233" s="14" t="inlineStr"/>
      <c r="H233" s="14" t="inlineStr"/>
      <c r="I233" s="14" t="inlineStr">
        <is>
          <t>Mattress protector</t>
        </is>
      </c>
      <c r="J233" s="20" t="n">
        <v>1</v>
      </c>
      <c r="K233" s="20" t="inlineStr">
        <is>
          <t>pcs</t>
        </is>
      </c>
      <c r="L233" s="19" t="n">
        <v>2</v>
      </c>
      <c r="M233" s="17">
        <f>IFERROR(J233*(1+IFERROR(L233,0)/100)*VLOOKUP(B233,'1. Articles (SKUs)'!F:R,13,FALSE),"")</f>
        <v/>
      </c>
      <c r="N233" s="19" t="inlineStr"/>
    </row>
    <row r="234">
      <c r="A234" s="12" t="inlineStr">
        <is>
          <t>FT9</t>
        </is>
      </c>
      <c r="B234" s="12" t="inlineStr">
        <is>
          <t>GPTE78</t>
        </is>
      </c>
      <c r="C234" s="12" t="inlineStr">
        <is>
          <t>KING</t>
        </is>
      </c>
      <c r="D234" s="12" t="inlineStr">
        <is>
          <t>Stiffener</t>
        </is>
      </c>
      <c r="E234" s="12" t="inlineStr">
        <is>
          <t>Cardboard material(Stiffener)</t>
        </is>
      </c>
      <c r="F234" s="12" t="inlineStr">
        <is>
          <t>Packaging inside need to put a “U”  1 ply thickness(1 layers with 1 layer corrugated ) in White Cardboard to maintain the shape before putting into the box</t>
        </is>
      </c>
      <c r="G234" s="12" t="inlineStr"/>
      <c r="H234" s="12" t="inlineStr"/>
      <c r="I234" s="12" t="inlineStr">
        <is>
          <t>Mattress protector</t>
        </is>
      </c>
      <c r="J234" s="20" t="n">
        <v>1</v>
      </c>
      <c r="K234" s="20" t="inlineStr">
        <is>
          <t>pcs</t>
        </is>
      </c>
      <c r="L234" s="19" t="n">
        <v>2</v>
      </c>
      <c r="M234" s="16">
        <f>IFERROR(J234*(1+IFERROR(L234,0)/100)*VLOOKUP(B234,'1. Articles (SKUs)'!F:R,13,FALSE),"")</f>
        <v/>
      </c>
      <c r="N234" s="19" t="inlineStr"/>
    </row>
    <row r="235">
      <c r="A235" s="14" t="inlineStr">
        <is>
          <t>FT9</t>
        </is>
      </c>
      <c r="B235" s="14" t="inlineStr">
        <is>
          <t>GPTE78</t>
        </is>
      </c>
      <c r="C235" s="14" t="inlineStr">
        <is>
          <t>KING</t>
        </is>
      </c>
      <c r="D235" s="14" t="inlineStr">
        <is>
          <t>Size Sticker</t>
        </is>
      </c>
      <c r="E235" s="14" t="inlineStr">
        <is>
          <t>Size Sticker</t>
        </is>
      </c>
      <c r="F235" s="14" t="inlineStr">
        <is>
          <t>Direct print on insert</t>
        </is>
      </c>
      <c r="G235" s="14" t="inlineStr"/>
      <c r="H235" s="14" t="inlineStr"/>
      <c r="I235" s="14" t="inlineStr">
        <is>
          <t>Mattress protector</t>
        </is>
      </c>
      <c r="J235" s="20" t="n">
        <v>1</v>
      </c>
      <c r="K235" s="20" t="inlineStr">
        <is>
          <t>pcs</t>
        </is>
      </c>
      <c r="L235" s="19" t="n">
        <v>2</v>
      </c>
      <c r="M235" s="17">
        <f>IFERROR(J235*(1+IFERROR(L235,0)/100)*VLOOKUP(B235,'1. Articles (SKUs)'!F:R,13,FALSE),"")</f>
        <v/>
      </c>
      <c r="N235" s="19" t="inlineStr"/>
    </row>
    <row r="236">
      <c r="A236" s="12" t="inlineStr">
        <is>
          <t>FT9</t>
        </is>
      </c>
      <c r="B236" s="12" t="inlineStr">
        <is>
          <t>GPTE78</t>
        </is>
      </c>
      <c r="C236" s="12" t="inlineStr">
        <is>
          <t>KING</t>
        </is>
      </c>
      <c r="D236" s="12" t="inlineStr">
        <is>
          <t>Barcode Sticker</t>
        </is>
      </c>
      <c r="E236" s="12" t="inlineStr">
        <is>
          <t>Barcode sticker</t>
        </is>
      </c>
      <c r="F236" s="12" t="inlineStr">
        <is>
          <t>All barcode (SKU) sticker must be stick on the PVC Bag (CANNOT PUT ON THE INSERT)</t>
        </is>
      </c>
      <c r="G236" s="12" t="inlineStr"/>
      <c r="H236" s="12" t="inlineStr"/>
      <c r="I236" s="12" t="inlineStr">
        <is>
          <t>Mattress protector</t>
        </is>
      </c>
      <c r="J236" s="20" t="n">
        <v>1</v>
      </c>
      <c r="K236" s="20" t="inlineStr">
        <is>
          <t>pcs</t>
        </is>
      </c>
      <c r="L236" s="19" t="n">
        <v>2</v>
      </c>
      <c r="M236" s="16">
        <f>IFERROR(J236*(1+IFERROR(L236,0)/100)*VLOOKUP(B236,'1. Articles (SKUs)'!F:R,13,FALSE),"")</f>
        <v/>
      </c>
      <c r="N236" s="19" t="inlineStr"/>
    </row>
    <row r="237">
      <c r="A237" s="14" t="inlineStr">
        <is>
          <t>FT9</t>
        </is>
      </c>
      <c r="B237" s="14" t="inlineStr">
        <is>
          <t>GPTE78</t>
        </is>
      </c>
      <c r="C237" s="14" t="inlineStr">
        <is>
          <t>KING</t>
        </is>
      </c>
      <c r="D237" s="14" t="inlineStr">
        <is>
          <t>Barcode Sticker Size</t>
        </is>
      </c>
      <c r="E237" s="14" t="inlineStr">
        <is>
          <t>Barcode Sticker /Size</t>
        </is>
      </c>
      <c r="F237" s="14" t="inlineStr">
        <is>
          <t>White ground with black fonts / 76mmx23mm</t>
        </is>
      </c>
      <c r="G237" s="14" t="inlineStr"/>
      <c r="H237" s="14" t="inlineStr"/>
      <c r="I237" s="14" t="inlineStr">
        <is>
          <t>Mattress protector</t>
        </is>
      </c>
      <c r="J237" s="20" t="n">
        <v>1</v>
      </c>
      <c r="K237" s="20" t="inlineStr">
        <is>
          <t>pcs</t>
        </is>
      </c>
      <c r="L237" s="19" t="n">
        <v>2</v>
      </c>
      <c r="M237" s="17">
        <f>IFERROR(J237*(1+IFERROR(L237,0)/100)*VLOOKUP(B237,'1. Articles (SKUs)'!F:R,13,FALSE),"")</f>
        <v/>
      </c>
      <c r="N237" s="19" t="inlineStr"/>
    </row>
    <row r="238">
      <c r="A238" s="12" t="inlineStr">
        <is>
          <t>FT9</t>
        </is>
      </c>
      <c r="B238" s="12" t="inlineStr">
        <is>
          <t>GPTE78</t>
        </is>
      </c>
      <c r="C238" s="12" t="inlineStr">
        <is>
          <t>KING</t>
        </is>
      </c>
      <c r="D238" s="12" t="inlineStr">
        <is>
          <t>Stiffener</t>
        </is>
      </c>
      <c r="E238" s="12" t="inlineStr">
        <is>
          <t>Cardboard</t>
        </is>
      </c>
      <c r="F238" s="12" t="inlineStr">
        <is>
          <t>Packaging inside need to put a “U”  1 ply thickness(1 layers with 1 layer corrugated ) in White Cardboard to maintain the shape before putting into the box</t>
        </is>
      </c>
      <c r="G238" s="12" t="inlineStr"/>
      <c r="H238" s="12" t="inlineStr"/>
      <c r="I238" s="12" t="inlineStr">
        <is>
          <t>Mattress protector</t>
        </is>
      </c>
      <c r="J238" s="20" t="n">
        <v>1</v>
      </c>
      <c r="K238" s="20" t="inlineStr">
        <is>
          <t>pcs</t>
        </is>
      </c>
      <c r="L238" s="19" t="n">
        <v>2</v>
      </c>
      <c r="M238" s="16">
        <f>IFERROR(J238*(1+IFERROR(L238,0)/100)*VLOOKUP(B238,'1. Articles (SKUs)'!F:R,13,FALSE),"")</f>
        <v/>
      </c>
      <c r="N238" s="19" t="inlineStr"/>
    </row>
    <row r="239">
      <c r="A239" s="14" t="inlineStr">
        <is>
          <t>FT9</t>
        </is>
      </c>
      <c r="B239" s="14" t="inlineStr">
        <is>
          <t>GPTE78</t>
        </is>
      </c>
      <c r="C239" s="14" t="inlineStr">
        <is>
          <t>KING</t>
        </is>
      </c>
      <c r="D239" s="14" t="inlineStr">
        <is>
          <t>Stiffener Size</t>
        </is>
      </c>
      <c r="E239" s="14" t="inlineStr">
        <is>
          <t>cardboard size</t>
        </is>
      </c>
      <c r="F239" s="14" t="inlineStr">
        <is>
          <t>Please refer spec sheet</t>
        </is>
      </c>
      <c r="G239" s="14" t="inlineStr"/>
      <c r="H239" s="14" t="inlineStr"/>
      <c r="I239" s="14" t="inlineStr">
        <is>
          <t>Mattress protector</t>
        </is>
      </c>
      <c r="J239" s="20" t="n">
        <v>1</v>
      </c>
      <c r="K239" s="20" t="inlineStr">
        <is>
          <t>pcs</t>
        </is>
      </c>
      <c r="L239" s="19" t="n">
        <v>2</v>
      </c>
      <c r="M239" s="17">
        <f>IFERROR(J239*(1+IFERROR(L239,0)/100)*VLOOKUP(B239,'1. Articles (SKUs)'!F:R,13,FALSE),"")</f>
        <v/>
      </c>
      <c r="N239" s="19" t="inlineStr"/>
    </row>
    <row r="240">
      <c r="A240" s="12" t="inlineStr">
        <is>
          <t>FT9</t>
        </is>
      </c>
      <c r="B240" s="12" t="inlineStr">
        <is>
          <t>GPTE72</t>
        </is>
      </c>
      <c r="C240" s="12" t="inlineStr">
        <is>
          <t>CAL KING</t>
        </is>
      </c>
      <c r="D240" s="12" t="inlineStr">
        <is>
          <t>Zipper</t>
        </is>
      </c>
      <c r="E240" s="12" t="inlineStr">
        <is>
          <t>Nylon coil zipper #3</t>
        </is>
      </c>
      <c r="F240" s="12" t="inlineStr">
        <is>
          <t>Nylon</t>
        </is>
      </c>
      <c r="G240" s="12" t="inlineStr">
        <is>
          <t>5.33m per piece</t>
        </is>
      </c>
      <c r="H240" s="12" t="inlineStr">
        <is>
          <t>Around encasement perimeter</t>
        </is>
      </c>
      <c r="I240" s="12" t="inlineStr">
        <is>
          <t>Mattress protector</t>
        </is>
      </c>
      <c r="J240" s="20" t="n">
        <v>5.33</v>
      </c>
      <c r="K240" s="19" t="inlineStr">
        <is>
          <t>meters</t>
        </is>
      </c>
      <c r="L240" s="19" t="n">
        <v>2</v>
      </c>
      <c r="M240" s="16">
        <f>IFERROR(J240*(1+IFERROR(L240,0)/100)*VLOOKUP(B240,'1. Articles (SKUs)'!F:R,13,FALSE),"")</f>
        <v/>
      </c>
      <c r="N240" s="19" t="inlineStr"/>
    </row>
    <row r="241">
      <c r="A241" s="14" t="inlineStr">
        <is>
          <t>FT9</t>
        </is>
      </c>
      <c r="B241" s="14" t="inlineStr">
        <is>
          <t>GPTE72</t>
        </is>
      </c>
      <c r="C241" s="14" t="inlineStr">
        <is>
          <t>CAL KING</t>
        </is>
      </c>
      <c r="D241" s="14" t="inlineStr">
        <is>
          <t>Thread</t>
        </is>
      </c>
      <c r="E241" s="14" t="inlineStr">
        <is>
          <t>Polyester sewing thread</t>
        </is>
      </c>
      <c r="F241" s="14" t="inlineStr">
        <is>
          <t>100% polyester spun</t>
        </is>
      </c>
      <c r="G241" s="14" t="inlineStr">
        <is>
          <t>TEX40 or 40/2</t>
        </is>
      </c>
      <c r="H241" s="14" t="inlineStr">
        <is>
          <t>All seams</t>
        </is>
      </c>
      <c r="I241" s="14" t="inlineStr">
        <is>
          <t>Mattress protector</t>
        </is>
      </c>
      <c r="J241" s="18" t="n"/>
      <c r="K241" s="19" t="inlineStr">
        <is>
          <t>meters</t>
        </is>
      </c>
      <c r="L241" s="19" t="n">
        <v>3</v>
      </c>
      <c r="M241" s="17">
        <f>IFERROR(J241*(1+IFERROR(L241,0)/100)*VLOOKUP(B241,'1. Articles (SKUs)'!F:R,13,FALSE),"")</f>
        <v/>
      </c>
      <c r="N241" s="19" t="inlineStr"/>
    </row>
    <row r="242">
      <c r="A242" s="12" t="inlineStr">
        <is>
          <t>FT9</t>
        </is>
      </c>
      <c r="B242" s="12" t="inlineStr">
        <is>
          <t>GPTE72</t>
        </is>
      </c>
      <c r="C242" s="12" t="inlineStr">
        <is>
          <t>CAL KING</t>
        </is>
      </c>
      <c r="D242" s="12" t="inlineStr">
        <is>
          <t>Law Tag</t>
        </is>
      </c>
      <c r="E242" s="12" t="inlineStr">
        <is>
          <t>Non woven label with coating</t>
        </is>
      </c>
      <c r="F242" s="12" t="inlineStr">
        <is>
          <t>3M non woven material with white ground / black color font  (INK CANNOT DISCOLORATION AND STAIN ON PRODUCT)</t>
        </is>
      </c>
      <c r="G242" s="12" t="inlineStr">
        <is>
          <t>4.0cmX7.0cm</t>
        </is>
      </c>
      <c r="H242" s="12" t="inlineStr">
        <is>
          <t>Position of Law Tag label – Sewing at the middle of short si</t>
        </is>
      </c>
      <c r="I242" s="12" t="inlineStr">
        <is>
          <t>Law tag/Care label</t>
        </is>
      </c>
      <c r="J242" s="20" t="n">
        <v>1</v>
      </c>
      <c r="K242" s="20" t="inlineStr">
        <is>
          <t>pcs</t>
        </is>
      </c>
      <c r="L242" s="19" t="n">
        <v>2</v>
      </c>
      <c r="M242" s="16">
        <f>IFERROR(J242*(1+IFERROR(L242,0)/100)*VLOOKUP(B242,'1. Articles (SKUs)'!F:R,13,FALSE),"")</f>
        <v/>
      </c>
      <c r="N242" s="19" t="inlineStr"/>
    </row>
    <row r="243">
      <c r="A243" s="14" t="inlineStr">
        <is>
          <t>FT9</t>
        </is>
      </c>
      <c r="B243" s="14" t="inlineStr">
        <is>
          <t>GPTE72</t>
        </is>
      </c>
      <c r="C243" s="14" t="inlineStr">
        <is>
          <t>CAL KING</t>
        </is>
      </c>
      <c r="D243" s="14" t="inlineStr">
        <is>
          <t>Size Label</t>
        </is>
      </c>
      <c r="E243" s="14" t="inlineStr">
        <is>
          <t>Non woven label with coating</t>
        </is>
      </c>
      <c r="F243" s="14" t="inlineStr">
        <is>
          <t>3M non woven material with white ground / black color font  (INK CANNOT DISCOLORATION AND STAIN ON PRODUCT)</t>
        </is>
      </c>
      <c r="G243" s="14" t="inlineStr">
        <is>
          <t>4.0cmX3.0cm</t>
        </is>
      </c>
      <c r="H243" s="14" t="inlineStr">
        <is>
          <t>Next the law tag label</t>
        </is>
      </c>
      <c r="I243" s="14" t="inlineStr">
        <is>
          <t>Size label</t>
        </is>
      </c>
      <c r="J243" s="20" t="n">
        <v>1</v>
      </c>
      <c r="K243" s="20" t="inlineStr">
        <is>
          <t>pcs</t>
        </is>
      </c>
      <c r="L243" s="19" t="n">
        <v>2</v>
      </c>
      <c r="M243" s="17">
        <f>IFERROR(J243*(1+IFERROR(L243,0)/100)*VLOOKUP(B243,'1. Articles (SKUs)'!F:R,13,FALSE),"")</f>
        <v/>
      </c>
      <c r="N243" s="19" t="inlineStr"/>
    </row>
    <row r="244">
      <c r="A244" s="12" t="inlineStr">
        <is>
          <t>FT9</t>
        </is>
      </c>
      <c r="B244" s="12" t="inlineStr">
        <is>
          <t>GPTE72</t>
        </is>
      </c>
      <c r="C244" s="12" t="inlineStr">
        <is>
          <t>CAL KING</t>
        </is>
      </c>
      <c r="D244" s="12" t="inlineStr">
        <is>
          <t>Packaging</t>
        </is>
      </c>
      <c r="E244" s="12" t="inlineStr">
        <is>
          <t>Packaging type</t>
        </is>
      </c>
      <c r="F244" s="12" t="inlineStr">
        <is>
          <t>Color paper insert with vinyl PVC Bag with white bound seam &amp; inside cardboard wrapped by product(Stiffener)</t>
        </is>
      </c>
      <c r="G244" s="12" t="inlineStr"/>
      <c r="H244" s="12" t="inlineStr"/>
      <c r="I244" s="12" t="inlineStr">
        <is>
          <t>Main</t>
        </is>
      </c>
      <c r="J244" s="20" t="n">
        <v>1</v>
      </c>
      <c r="K244" s="20" t="inlineStr">
        <is>
          <t>pcs</t>
        </is>
      </c>
      <c r="L244" s="19" t="n">
        <v>2</v>
      </c>
      <c r="M244" s="16">
        <f>IFERROR(J244*(1+IFERROR(L244,0)/100)*VLOOKUP(B244,'1. Articles (SKUs)'!F:R,13,FALSE),"")</f>
        <v/>
      </c>
      <c r="N244" s="19" t="inlineStr"/>
    </row>
    <row r="245">
      <c r="A245" s="14" t="inlineStr">
        <is>
          <t>FT9</t>
        </is>
      </c>
      <c r="B245" s="14" t="inlineStr">
        <is>
          <t>GPTE72</t>
        </is>
      </c>
      <c r="C245" s="14" t="inlineStr">
        <is>
          <t>CAL KING</t>
        </is>
      </c>
      <c r="D245" s="14" t="inlineStr">
        <is>
          <t>PVC Bag</t>
        </is>
      </c>
      <c r="E245" s="14" t="inlineStr">
        <is>
          <t>Bag material</t>
        </is>
      </c>
      <c r="F245" s="14" t="inlineStr">
        <is>
          <t>12S (Thickness)- Transparent PVC Bag with 7S(Thickness) White PVC White Binding all around seam and 3# Nylon Coil White Zipper(No Hanger Loop on top)</t>
        </is>
      </c>
      <c r="G245" s="14" t="inlineStr"/>
      <c r="H245" s="14" t="inlineStr"/>
      <c r="I245" s="14" t="inlineStr">
        <is>
          <t>Mattress protector</t>
        </is>
      </c>
      <c r="J245" s="20" t="n">
        <v>1</v>
      </c>
      <c r="K245" s="20" t="inlineStr">
        <is>
          <t>pcs</t>
        </is>
      </c>
      <c r="L245" s="19" t="n">
        <v>2</v>
      </c>
      <c r="M245" s="17">
        <f>IFERROR(J245*(1+IFERROR(L245,0)/100)*VLOOKUP(B245,'1. Articles (SKUs)'!F:R,13,FALSE),"")</f>
        <v/>
      </c>
      <c r="N245" s="19" t="inlineStr"/>
    </row>
    <row r="246">
      <c r="A246" s="12" t="inlineStr">
        <is>
          <t>FT9</t>
        </is>
      </c>
      <c r="B246" s="12" t="inlineStr">
        <is>
          <t>GPTE72</t>
        </is>
      </c>
      <c r="C246" s="12" t="inlineStr">
        <is>
          <t>CAL KING</t>
        </is>
      </c>
      <c r="D246" s="12" t="inlineStr">
        <is>
          <t>Insert Card</t>
        </is>
      </c>
      <c r="E246" s="12" t="inlineStr">
        <is>
          <t>Color paper insert material</t>
        </is>
      </c>
      <c r="F246" s="12" t="inlineStr">
        <is>
          <t>Printed Insert quality -  INSERT (“U” Shape) - Insert Material: 250g-300g White Card Paper with Coating both side</t>
        </is>
      </c>
      <c r="G246" s="12" t="inlineStr"/>
      <c r="H246" s="12" t="inlineStr"/>
      <c r="I246" s="12" t="inlineStr">
        <is>
          <t>Mattress protector</t>
        </is>
      </c>
      <c r="J246" s="20" t="n">
        <v>1</v>
      </c>
      <c r="K246" s="20" t="inlineStr">
        <is>
          <t>pcs</t>
        </is>
      </c>
      <c r="L246" s="19" t="n">
        <v>2</v>
      </c>
      <c r="M246" s="16">
        <f>IFERROR(J246*(1+IFERROR(L246,0)/100)*VLOOKUP(B246,'1. Articles (SKUs)'!F:R,13,FALSE),"")</f>
        <v/>
      </c>
      <c r="N246" s="19" t="inlineStr"/>
    </row>
    <row r="247">
      <c r="A247" s="14" t="inlineStr">
        <is>
          <t>FT9</t>
        </is>
      </c>
      <c r="B247" s="14" t="inlineStr">
        <is>
          <t>GPTE72</t>
        </is>
      </c>
      <c r="C247" s="14" t="inlineStr">
        <is>
          <t>CAL KING</t>
        </is>
      </c>
      <c r="D247" s="14" t="inlineStr">
        <is>
          <t>Stiffener</t>
        </is>
      </c>
      <c r="E247" s="14" t="inlineStr">
        <is>
          <t>Cardboard material(Stiffener)</t>
        </is>
      </c>
      <c r="F247" s="14" t="inlineStr">
        <is>
          <t>Packaging inside need to put a “U”  1 ply thickness(1 layers with 1 layer corrugated ) in White Cardboard to maintain the shape before putting into the box</t>
        </is>
      </c>
      <c r="G247" s="14" t="inlineStr"/>
      <c r="H247" s="14" t="inlineStr"/>
      <c r="I247" s="14" t="inlineStr">
        <is>
          <t>Mattress protector</t>
        </is>
      </c>
      <c r="J247" s="20" t="n">
        <v>1</v>
      </c>
      <c r="K247" s="20" t="inlineStr">
        <is>
          <t>pcs</t>
        </is>
      </c>
      <c r="L247" s="19" t="n">
        <v>2</v>
      </c>
      <c r="M247" s="17">
        <f>IFERROR(J247*(1+IFERROR(L247,0)/100)*VLOOKUP(B247,'1. Articles (SKUs)'!F:R,13,FALSE),"")</f>
        <v/>
      </c>
      <c r="N247" s="19" t="inlineStr"/>
    </row>
    <row r="248">
      <c r="A248" s="12" t="inlineStr">
        <is>
          <t>FT9</t>
        </is>
      </c>
      <c r="B248" s="12" t="inlineStr">
        <is>
          <t>GPTE72</t>
        </is>
      </c>
      <c r="C248" s="12" t="inlineStr">
        <is>
          <t>CAL KING</t>
        </is>
      </c>
      <c r="D248" s="12" t="inlineStr">
        <is>
          <t>Size Sticker</t>
        </is>
      </c>
      <c r="E248" s="12" t="inlineStr">
        <is>
          <t>Size Sticker</t>
        </is>
      </c>
      <c r="F248" s="12" t="inlineStr">
        <is>
          <t>Direct print on insert</t>
        </is>
      </c>
      <c r="G248" s="12" t="inlineStr"/>
      <c r="H248" s="12" t="inlineStr"/>
      <c r="I248" s="12" t="inlineStr">
        <is>
          <t>Mattress protector</t>
        </is>
      </c>
      <c r="J248" s="20" t="n">
        <v>1</v>
      </c>
      <c r="K248" s="20" t="inlineStr">
        <is>
          <t>pcs</t>
        </is>
      </c>
      <c r="L248" s="19" t="n">
        <v>2</v>
      </c>
      <c r="M248" s="16">
        <f>IFERROR(J248*(1+IFERROR(L248,0)/100)*VLOOKUP(B248,'1. Articles (SKUs)'!F:R,13,FALSE),"")</f>
        <v/>
      </c>
      <c r="N248" s="19" t="inlineStr"/>
    </row>
    <row r="249">
      <c r="A249" s="14" t="inlineStr">
        <is>
          <t>FT9</t>
        </is>
      </c>
      <c r="B249" s="14" t="inlineStr">
        <is>
          <t>GPTE72</t>
        </is>
      </c>
      <c r="C249" s="14" t="inlineStr">
        <is>
          <t>CAL KING</t>
        </is>
      </c>
      <c r="D249" s="14" t="inlineStr">
        <is>
          <t>Barcode Sticker</t>
        </is>
      </c>
      <c r="E249" s="14" t="inlineStr">
        <is>
          <t>Barcode sticker</t>
        </is>
      </c>
      <c r="F249" s="14" t="inlineStr">
        <is>
          <t>All barcode (SKU) sticker must be stick on the PVC Bag (CANNOT PUT ON THE INSERT)</t>
        </is>
      </c>
      <c r="G249" s="14" t="inlineStr"/>
      <c r="H249" s="14" t="inlineStr"/>
      <c r="I249" s="14" t="inlineStr">
        <is>
          <t>Mattress protector</t>
        </is>
      </c>
      <c r="J249" s="20" t="n">
        <v>1</v>
      </c>
      <c r="K249" s="20" t="inlineStr">
        <is>
          <t>pcs</t>
        </is>
      </c>
      <c r="L249" s="19" t="n">
        <v>2</v>
      </c>
      <c r="M249" s="17">
        <f>IFERROR(J249*(1+IFERROR(L249,0)/100)*VLOOKUP(B249,'1. Articles (SKUs)'!F:R,13,FALSE),"")</f>
        <v/>
      </c>
      <c r="N249" s="19" t="inlineStr"/>
    </row>
    <row r="250">
      <c r="A250" s="12" t="inlineStr">
        <is>
          <t>FT9</t>
        </is>
      </c>
      <c r="B250" s="12" t="inlineStr">
        <is>
          <t>GPTE72</t>
        </is>
      </c>
      <c r="C250" s="12" t="inlineStr">
        <is>
          <t>CAL KING</t>
        </is>
      </c>
      <c r="D250" s="12" t="inlineStr">
        <is>
          <t>Barcode Sticker Size</t>
        </is>
      </c>
      <c r="E250" s="12" t="inlineStr">
        <is>
          <t>Barcode Sticker /Size</t>
        </is>
      </c>
      <c r="F250" s="12" t="inlineStr">
        <is>
          <t>White ground with black fonts / 76mmx23mm</t>
        </is>
      </c>
      <c r="G250" s="12" t="inlineStr"/>
      <c r="H250" s="12" t="inlineStr"/>
      <c r="I250" s="12" t="inlineStr">
        <is>
          <t>Mattress protector</t>
        </is>
      </c>
      <c r="J250" s="20" t="n">
        <v>1</v>
      </c>
      <c r="K250" s="20" t="inlineStr">
        <is>
          <t>pcs</t>
        </is>
      </c>
      <c r="L250" s="19" t="n">
        <v>2</v>
      </c>
      <c r="M250" s="16">
        <f>IFERROR(J250*(1+IFERROR(L250,0)/100)*VLOOKUP(B250,'1. Articles (SKUs)'!F:R,13,FALSE),"")</f>
        <v/>
      </c>
      <c r="N250" s="19" t="inlineStr"/>
    </row>
    <row r="251">
      <c r="A251" s="14" t="inlineStr">
        <is>
          <t>FT9</t>
        </is>
      </c>
      <c r="B251" s="14" t="inlineStr">
        <is>
          <t>GPTE72</t>
        </is>
      </c>
      <c r="C251" s="14" t="inlineStr">
        <is>
          <t>CAL KING</t>
        </is>
      </c>
      <c r="D251" s="14" t="inlineStr">
        <is>
          <t>Stiffener</t>
        </is>
      </c>
      <c r="E251" s="14" t="inlineStr">
        <is>
          <t>Cardboard</t>
        </is>
      </c>
      <c r="F251" s="14" t="inlineStr">
        <is>
          <t>Packaging inside need to put a “U”  1 ply thickness(1 layers with 1 layer corrugated ) in White Cardboard to maintain the shape before putting into the box</t>
        </is>
      </c>
      <c r="G251" s="14" t="inlineStr"/>
      <c r="H251" s="14" t="inlineStr"/>
      <c r="I251" s="14" t="inlineStr">
        <is>
          <t>Mattress protector</t>
        </is>
      </c>
      <c r="J251" s="20" t="n">
        <v>1</v>
      </c>
      <c r="K251" s="20" t="inlineStr">
        <is>
          <t>pcs</t>
        </is>
      </c>
      <c r="L251" s="19" t="n">
        <v>2</v>
      </c>
      <c r="M251" s="17">
        <f>IFERROR(J251*(1+IFERROR(L251,0)/100)*VLOOKUP(B251,'1. Articles (SKUs)'!F:R,13,FALSE),"")</f>
        <v/>
      </c>
      <c r="N251" s="19" t="inlineStr"/>
    </row>
    <row r="252">
      <c r="A252" s="12" t="inlineStr">
        <is>
          <t>FT9</t>
        </is>
      </c>
      <c r="B252" s="12" t="inlineStr">
        <is>
          <t>GPTE72</t>
        </is>
      </c>
      <c r="C252" s="12" t="inlineStr">
        <is>
          <t>CAL KING</t>
        </is>
      </c>
      <c r="D252" s="12" t="inlineStr">
        <is>
          <t>Stiffener Size</t>
        </is>
      </c>
      <c r="E252" s="12" t="inlineStr">
        <is>
          <t>cardboard size</t>
        </is>
      </c>
      <c r="F252" s="12" t="inlineStr">
        <is>
          <t>Please refer spec sheet</t>
        </is>
      </c>
      <c r="G252" s="12" t="inlineStr"/>
      <c r="H252" s="12" t="inlineStr"/>
      <c r="I252" s="12" t="inlineStr">
        <is>
          <t>Mattress protector</t>
        </is>
      </c>
      <c r="J252" s="20" t="n">
        <v>1</v>
      </c>
      <c r="K252" s="20" t="inlineStr">
        <is>
          <t>pcs</t>
        </is>
      </c>
      <c r="L252" s="19" t="n">
        <v>2</v>
      </c>
      <c r="M252" s="16">
        <f>IFERROR(J252*(1+IFERROR(L252,0)/100)*VLOOKUP(B252,'1. Articles (SKUs)'!F:R,13,FALSE),"")</f>
        <v/>
      </c>
      <c r="N252" s="19" t="inlineStr"/>
    </row>
    <row r="253">
      <c r="A253" s="14" t="inlineStr">
        <is>
          <t>FT9</t>
        </is>
      </c>
      <c r="B253" s="14" t="inlineStr">
        <is>
          <t>GPTE36</t>
        </is>
      </c>
      <c r="C253" s="14" t="inlineStr">
        <is>
          <t>SP CAL KING</t>
        </is>
      </c>
      <c r="D253" s="14" t="inlineStr">
        <is>
          <t>Zipper</t>
        </is>
      </c>
      <c r="E253" s="14" t="inlineStr">
        <is>
          <t>Nylon coil zipper #3</t>
        </is>
      </c>
      <c r="F253" s="14" t="inlineStr">
        <is>
          <t>Nylon</t>
        </is>
      </c>
      <c r="G253" s="14" t="inlineStr">
        <is>
          <t>4.41m per piece</t>
        </is>
      </c>
      <c r="H253" s="14" t="inlineStr">
        <is>
          <t>Around encasement perimeter</t>
        </is>
      </c>
      <c r="I253" s="14" t="inlineStr">
        <is>
          <t>Mattress protector</t>
        </is>
      </c>
      <c r="J253" s="20" t="n">
        <v>4.41</v>
      </c>
      <c r="K253" s="19" t="inlineStr">
        <is>
          <t>meters</t>
        </is>
      </c>
      <c r="L253" s="19" t="n">
        <v>2</v>
      </c>
      <c r="M253" s="17">
        <f>IFERROR(J253*(1+IFERROR(L253,0)/100)*VLOOKUP(B253,'1. Articles (SKUs)'!F:R,13,FALSE),"")</f>
        <v/>
      </c>
      <c r="N253" s="19" t="inlineStr"/>
    </row>
    <row r="254">
      <c r="A254" s="12" t="inlineStr">
        <is>
          <t>FT9</t>
        </is>
      </c>
      <c r="B254" s="12" t="inlineStr">
        <is>
          <t>GPTE36</t>
        </is>
      </c>
      <c r="C254" s="12" t="inlineStr">
        <is>
          <t>SP CAL KING</t>
        </is>
      </c>
      <c r="D254" s="12" t="inlineStr">
        <is>
          <t>Thread</t>
        </is>
      </c>
      <c r="E254" s="12" t="inlineStr">
        <is>
          <t>Polyester sewing thread</t>
        </is>
      </c>
      <c r="F254" s="12" t="inlineStr">
        <is>
          <t>100% polyester spun</t>
        </is>
      </c>
      <c r="G254" s="12" t="inlineStr">
        <is>
          <t>TEX40 or 40/2</t>
        </is>
      </c>
      <c r="H254" s="12" t="inlineStr">
        <is>
          <t>All seams</t>
        </is>
      </c>
      <c r="I254" s="12" t="inlineStr">
        <is>
          <t>Mattress protector</t>
        </is>
      </c>
      <c r="J254" s="18" t="n"/>
      <c r="K254" s="19" t="inlineStr">
        <is>
          <t>meters</t>
        </is>
      </c>
      <c r="L254" s="19" t="n">
        <v>3</v>
      </c>
      <c r="M254" s="16">
        <f>IFERROR(J254*(1+IFERROR(L254,0)/100)*VLOOKUP(B254,'1. Articles (SKUs)'!F:R,13,FALSE),"")</f>
        <v/>
      </c>
      <c r="N254" s="19" t="inlineStr"/>
    </row>
    <row r="255">
      <c r="A255" s="14" t="inlineStr">
        <is>
          <t>FT9</t>
        </is>
      </c>
      <c r="B255" s="14" t="inlineStr">
        <is>
          <t>GPTE36</t>
        </is>
      </c>
      <c r="C255" s="14" t="inlineStr">
        <is>
          <t>SP CAL KING</t>
        </is>
      </c>
      <c r="D255" s="14" t="inlineStr">
        <is>
          <t>Law Tag</t>
        </is>
      </c>
      <c r="E255" s="14" t="inlineStr">
        <is>
          <t>Non woven label with coating</t>
        </is>
      </c>
      <c r="F255" s="14" t="inlineStr">
        <is>
          <t>3M non woven material with white ground / black color font  (INK CANNOT DISCOLORATION AND STAIN ON PRODUCT)</t>
        </is>
      </c>
      <c r="G255" s="14" t="inlineStr">
        <is>
          <t>4.0cmX7.0cm</t>
        </is>
      </c>
      <c r="H255" s="14" t="inlineStr">
        <is>
          <t>Position of Law Tag label – Sewing at the middle of short si</t>
        </is>
      </c>
      <c r="I255" s="14" t="inlineStr">
        <is>
          <t>Law tag/Care label</t>
        </is>
      </c>
      <c r="J255" s="20" t="n">
        <v>1</v>
      </c>
      <c r="K255" s="20" t="inlineStr">
        <is>
          <t>pcs</t>
        </is>
      </c>
      <c r="L255" s="19" t="n">
        <v>2</v>
      </c>
      <c r="M255" s="17">
        <f>IFERROR(J255*(1+IFERROR(L255,0)/100)*VLOOKUP(B255,'1. Articles (SKUs)'!F:R,13,FALSE),"")</f>
        <v/>
      </c>
      <c r="N255" s="19" t="inlineStr"/>
    </row>
    <row r="256">
      <c r="A256" s="12" t="inlineStr">
        <is>
          <t>FT9</t>
        </is>
      </c>
      <c r="B256" s="12" t="inlineStr">
        <is>
          <t>GPTE36</t>
        </is>
      </c>
      <c r="C256" s="12" t="inlineStr">
        <is>
          <t>SP CAL KING</t>
        </is>
      </c>
      <c r="D256" s="12" t="inlineStr">
        <is>
          <t>Size Label</t>
        </is>
      </c>
      <c r="E256" s="12" t="inlineStr">
        <is>
          <t>Non woven label with coating</t>
        </is>
      </c>
      <c r="F256" s="12" t="inlineStr">
        <is>
          <t>3M non woven material with white ground / black color font  (INK CANNOT DISCOLORATION AND STAIN ON PRODUCT)</t>
        </is>
      </c>
      <c r="G256" s="12" t="inlineStr">
        <is>
          <t>4.0cmX3.0cm</t>
        </is>
      </c>
      <c r="H256" s="12" t="inlineStr">
        <is>
          <t>Next the law tag label</t>
        </is>
      </c>
      <c r="I256" s="12" t="inlineStr">
        <is>
          <t>Size label</t>
        </is>
      </c>
      <c r="J256" s="20" t="n">
        <v>1</v>
      </c>
      <c r="K256" s="20" t="inlineStr">
        <is>
          <t>pcs</t>
        </is>
      </c>
      <c r="L256" s="19" t="n">
        <v>2</v>
      </c>
      <c r="M256" s="16">
        <f>IFERROR(J256*(1+IFERROR(L256,0)/100)*VLOOKUP(B256,'1. Articles (SKUs)'!F:R,13,FALSE),"")</f>
        <v/>
      </c>
      <c r="N256" s="19" t="inlineStr"/>
    </row>
    <row r="257">
      <c r="A257" s="14" t="inlineStr">
        <is>
          <t>FT9</t>
        </is>
      </c>
      <c r="B257" s="14" t="inlineStr">
        <is>
          <t>GPTE36</t>
        </is>
      </c>
      <c r="C257" s="14" t="inlineStr">
        <is>
          <t>SP CAL KING</t>
        </is>
      </c>
      <c r="D257" s="14" t="inlineStr">
        <is>
          <t>Packaging</t>
        </is>
      </c>
      <c r="E257" s="14" t="inlineStr">
        <is>
          <t>Packaging type</t>
        </is>
      </c>
      <c r="F257" s="14" t="inlineStr">
        <is>
          <t>Color paper insert with vinyl PVC Bag with white bound seam &amp; inside cardboard wrapped by product(Stiffener)</t>
        </is>
      </c>
      <c r="G257" s="14" t="inlineStr"/>
      <c r="H257" s="14" t="inlineStr"/>
      <c r="I257" s="14" t="inlineStr">
        <is>
          <t>Main</t>
        </is>
      </c>
      <c r="J257" s="20" t="n">
        <v>1</v>
      </c>
      <c r="K257" s="20" t="inlineStr">
        <is>
          <t>pcs</t>
        </is>
      </c>
      <c r="L257" s="19" t="n">
        <v>2</v>
      </c>
      <c r="M257" s="17">
        <f>IFERROR(J257*(1+IFERROR(L257,0)/100)*VLOOKUP(B257,'1. Articles (SKUs)'!F:R,13,FALSE),"")</f>
        <v/>
      </c>
      <c r="N257" s="19" t="inlineStr"/>
    </row>
    <row r="258">
      <c r="A258" s="12" t="inlineStr">
        <is>
          <t>FT9</t>
        </is>
      </c>
      <c r="B258" s="12" t="inlineStr">
        <is>
          <t>GPTE36</t>
        </is>
      </c>
      <c r="C258" s="12" t="inlineStr">
        <is>
          <t>SP CAL KING</t>
        </is>
      </c>
      <c r="D258" s="12" t="inlineStr">
        <is>
          <t>PVC Bag</t>
        </is>
      </c>
      <c r="E258" s="12" t="inlineStr">
        <is>
          <t>Bag material</t>
        </is>
      </c>
      <c r="F258" s="12" t="inlineStr">
        <is>
          <t>12S (Thickness)- Transparent PVC Bag with 7S(Thickness) White PVC White Binding all around seam and 3# Nylon Coil White Zipper(No Hanger Loop on top)</t>
        </is>
      </c>
      <c r="G258" s="12" t="inlineStr"/>
      <c r="H258" s="12" t="inlineStr"/>
      <c r="I258" s="12" t="inlineStr">
        <is>
          <t>Mattress protector</t>
        </is>
      </c>
      <c r="J258" s="20" t="n">
        <v>1</v>
      </c>
      <c r="K258" s="20" t="inlineStr">
        <is>
          <t>pcs</t>
        </is>
      </c>
      <c r="L258" s="19" t="n">
        <v>2</v>
      </c>
      <c r="M258" s="16">
        <f>IFERROR(J258*(1+IFERROR(L258,0)/100)*VLOOKUP(B258,'1. Articles (SKUs)'!F:R,13,FALSE),"")</f>
        <v/>
      </c>
      <c r="N258" s="19" t="inlineStr"/>
    </row>
    <row r="259">
      <c r="A259" s="14" t="inlineStr">
        <is>
          <t>FT9</t>
        </is>
      </c>
      <c r="B259" s="14" t="inlineStr">
        <is>
          <t>GPTE36</t>
        </is>
      </c>
      <c r="C259" s="14" t="inlineStr">
        <is>
          <t>SP CAL KING</t>
        </is>
      </c>
      <c r="D259" s="14" t="inlineStr">
        <is>
          <t>Insert Card</t>
        </is>
      </c>
      <c r="E259" s="14" t="inlineStr">
        <is>
          <t>Color paper insert material</t>
        </is>
      </c>
      <c r="F259" s="14" t="inlineStr">
        <is>
          <t>Printed Insert quality -  INSERT (“U” Shape) - Insert Material: 250g-300g White Card Paper with Coating both side</t>
        </is>
      </c>
      <c r="G259" s="14" t="inlineStr"/>
      <c r="H259" s="14" t="inlineStr"/>
      <c r="I259" s="14" t="inlineStr">
        <is>
          <t>Mattress protector</t>
        </is>
      </c>
      <c r="J259" s="20" t="n">
        <v>1</v>
      </c>
      <c r="K259" s="20" t="inlineStr">
        <is>
          <t>pcs</t>
        </is>
      </c>
      <c r="L259" s="19" t="n">
        <v>2</v>
      </c>
      <c r="M259" s="17">
        <f>IFERROR(J259*(1+IFERROR(L259,0)/100)*VLOOKUP(B259,'1. Articles (SKUs)'!F:R,13,FALSE),"")</f>
        <v/>
      </c>
      <c r="N259" s="19" t="inlineStr"/>
    </row>
    <row r="260">
      <c r="A260" s="12" t="inlineStr">
        <is>
          <t>FT9</t>
        </is>
      </c>
      <c r="B260" s="12" t="inlineStr">
        <is>
          <t>GPTE36</t>
        </is>
      </c>
      <c r="C260" s="12" t="inlineStr">
        <is>
          <t>SP CAL KING</t>
        </is>
      </c>
      <c r="D260" s="12" t="inlineStr">
        <is>
          <t>Stiffener</t>
        </is>
      </c>
      <c r="E260" s="12" t="inlineStr">
        <is>
          <t>Cardboard material(Stiffener)</t>
        </is>
      </c>
      <c r="F260" s="12" t="inlineStr">
        <is>
          <t>Packaging inside need to put a “U”  1 ply thickness(1 layers with 1 layer corrugated ) in White Cardboard to maintain the shape before putting into the box</t>
        </is>
      </c>
      <c r="G260" s="12" t="inlineStr"/>
      <c r="H260" s="12" t="inlineStr"/>
      <c r="I260" s="12" t="inlineStr">
        <is>
          <t>Mattress protector</t>
        </is>
      </c>
      <c r="J260" s="20" t="n">
        <v>1</v>
      </c>
      <c r="K260" s="20" t="inlineStr">
        <is>
          <t>pcs</t>
        </is>
      </c>
      <c r="L260" s="19" t="n">
        <v>2</v>
      </c>
      <c r="M260" s="16">
        <f>IFERROR(J260*(1+IFERROR(L260,0)/100)*VLOOKUP(B260,'1. Articles (SKUs)'!F:R,13,FALSE),"")</f>
        <v/>
      </c>
      <c r="N260" s="19" t="inlineStr"/>
    </row>
    <row r="261">
      <c r="A261" s="14" t="inlineStr">
        <is>
          <t>FT9</t>
        </is>
      </c>
      <c r="B261" s="14" t="inlineStr">
        <is>
          <t>GPTE36</t>
        </is>
      </c>
      <c r="C261" s="14" t="inlineStr">
        <is>
          <t>SP CAL KING</t>
        </is>
      </c>
      <c r="D261" s="14" t="inlineStr">
        <is>
          <t>Size Sticker</t>
        </is>
      </c>
      <c r="E261" s="14" t="inlineStr">
        <is>
          <t>Size Sticker</t>
        </is>
      </c>
      <c r="F261" s="14" t="inlineStr">
        <is>
          <t>Direct print on insert</t>
        </is>
      </c>
      <c r="G261" s="14" t="inlineStr"/>
      <c r="H261" s="14" t="inlineStr"/>
      <c r="I261" s="14" t="inlineStr">
        <is>
          <t>Mattress protector</t>
        </is>
      </c>
      <c r="J261" s="20" t="n">
        <v>1</v>
      </c>
      <c r="K261" s="20" t="inlineStr">
        <is>
          <t>pcs</t>
        </is>
      </c>
      <c r="L261" s="19" t="n">
        <v>2</v>
      </c>
      <c r="M261" s="17">
        <f>IFERROR(J261*(1+IFERROR(L261,0)/100)*VLOOKUP(B261,'1. Articles (SKUs)'!F:R,13,FALSE),"")</f>
        <v/>
      </c>
      <c r="N261" s="19" t="inlineStr"/>
    </row>
    <row r="262">
      <c r="A262" s="12" t="inlineStr">
        <is>
          <t>FT9</t>
        </is>
      </c>
      <c r="B262" s="12" t="inlineStr">
        <is>
          <t>GPTE36</t>
        </is>
      </c>
      <c r="C262" s="12" t="inlineStr">
        <is>
          <t>SP CAL KING</t>
        </is>
      </c>
      <c r="D262" s="12" t="inlineStr">
        <is>
          <t>Barcode Sticker</t>
        </is>
      </c>
      <c r="E262" s="12" t="inlineStr">
        <is>
          <t>Barcode sticker</t>
        </is>
      </c>
      <c r="F262" s="12" t="inlineStr">
        <is>
          <t>All barcode (SKU) sticker must be stick on the PVC Bag (CANNOT PUT ON THE INSERT)</t>
        </is>
      </c>
      <c r="G262" s="12" t="inlineStr"/>
      <c r="H262" s="12" t="inlineStr"/>
      <c r="I262" s="12" t="inlineStr">
        <is>
          <t>Mattress protector</t>
        </is>
      </c>
      <c r="J262" s="20" t="n">
        <v>1</v>
      </c>
      <c r="K262" s="20" t="inlineStr">
        <is>
          <t>pcs</t>
        </is>
      </c>
      <c r="L262" s="19" t="n">
        <v>2</v>
      </c>
      <c r="M262" s="16">
        <f>IFERROR(J262*(1+IFERROR(L262,0)/100)*VLOOKUP(B262,'1. Articles (SKUs)'!F:R,13,FALSE),"")</f>
        <v/>
      </c>
      <c r="N262" s="19" t="inlineStr"/>
    </row>
    <row r="263">
      <c r="A263" s="14" t="inlineStr">
        <is>
          <t>FT9</t>
        </is>
      </c>
      <c r="B263" s="14" t="inlineStr">
        <is>
          <t>GPTE36</t>
        </is>
      </c>
      <c r="C263" s="14" t="inlineStr">
        <is>
          <t>SP CAL KING</t>
        </is>
      </c>
      <c r="D263" s="14" t="inlineStr">
        <is>
          <t>Barcode Sticker Size</t>
        </is>
      </c>
      <c r="E263" s="14" t="inlineStr">
        <is>
          <t>Barcode Sticker /Size</t>
        </is>
      </c>
      <c r="F263" s="14" t="inlineStr">
        <is>
          <t>White ground with black fonts / 76mmx23mm</t>
        </is>
      </c>
      <c r="G263" s="14" t="inlineStr"/>
      <c r="H263" s="14" t="inlineStr"/>
      <c r="I263" s="14" t="inlineStr">
        <is>
          <t>Mattress protector</t>
        </is>
      </c>
      <c r="J263" s="20" t="n">
        <v>1</v>
      </c>
      <c r="K263" s="20" t="inlineStr">
        <is>
          <t>pcs</t>
        </is>
      </c>
      <c r="L263" s="19" t="n">
        <v>2</v>
      </c>
      <c r="M263" s="17">
        <f>IFERROR(J263*(1+IFERROR(L263,0)/100)*VLOOKUP(B263,'1. Articles (SKUs)'!F:R,13,FALSE),"")</f>
        <v/>
      </c>
      <c r="N263" s="19" t="inlineStr"/>
    </row>
    <row r="264">
      <c r="A264" s="12" t="inlineStr">
        <is>
          <t>FT9</t>
        </is>
      </c>
      <c r="B264" s="12" t="inlineStr">
        <is>
          <t>GPTE36</t>
        </is>
      </c>
      <c r="C264" s="12" t="inlineStr">
        <is>
          <t>SP CAL KING</t>
        </is>
      </c>
      <c r="D264" s="12" t="inlineStr">
        <is>
          <t>Stiffener</t>
        </is>
      </c>
      <c r="E264" s="12" t="inlineStr">
        <is>
          <t>Cardboard</t>
        </is>
      </c>
      <c r="F264" s="12" t="inlineStr">
        <is>
          <t>Packaging inside need to put a “U”  1 ply thickness(1 layers with 1 layer corrugated ) in White Cardboard to maintain the shape before putting into the box</t>
        </is>
      </c>
      <c r="G264" s="12" t="inlineStr"/>
      <c r="H264" s="12" t="inlineStr"/>
      <c r="I264" s="12" t="inlineStr">
        <is>
          <t>Mattress protector</t>
        </is>
      </c>
      <c r="J264" s="20" t="n">
        <v>1</v>
      </c>
      <c r="K264" s="20" t="inlineStr">
        <is>
          <t>pcs</t>
        </is>
      </c>
      <c r="L264" s="19" t="n">
        <v>2</v>
      </c>
      <c r="M264" s="16">
        <f>IFERROR(J264*(1+IFERROR(L264,0)/100)*VLOOKUP(B264,'1. Articles (SKUs)'!F:R,13,FALSE),"")</f>
        <v/>
      </c>
      <c r="N264" s="19" t="inlineStr"/>
    </row>
    <row r="265">
      <c r="A265" s="14" t="inlineStr">
        <is>
          <t>FT9</t>
        </is>
      </c>
      <c r="B265" s="14" t="inlineStr">
        <is>
          <t>GPTE36</t>
        </is>
      </c>
      <c r="C265" s="14" t="inlineStr">
        <is>
          <t>SP CAL KING</t>
        </is>
      </c>
      <c r="D265" s="14" t="inlineStr">
        <is>
          <t>Stiffener Size</t>
        </is>
      </c>
      <c r="E265" s="14" t="inlineStr">
        <is>
          <t>cardboard size</t>
        </is>
      </c>
      <c r="F265" s="14" t="inlineStr">
        <is>
          <t>Please refer spec sheet</t>
        </is>
      </c>
      <c r="G265" s="14" t="inlineStr"/>
      <c r="H265" s="14" t="inlineStr"/>
      <c r="I265" s="14" t="inlineStr">
        <is>
          <t>Mattress protector</t>
        </is>
      </c>
      <c r="J265" s="20" t="n">
        <v>1</v>
      </c>
      <c r="K265" s="20" t="inlineStr">
        <is>
          <t>pcs</t>
        </is>
      </c>
      <c r="L265" s="19" t="n">
        <v>2</v>
      </c>
      <c r="M265" s="17">
        <f>IFERROR(J265*(1+IFERROR(L265,0)/100)*VLOOKUP(B265,'1. Articles (SKUs)'!F:R,13,FALSE),"")</f>
        <v/>
      </c>
      <c r="N265" s="19" t="inlineStr"/>
    </row>
    <row r="266">
      <c r="A266" s="12" t="inlineStr">
        <is>
          <t>FT9</t>
        </is>
      </c>
      <c r="B266" s="12" t="inlineStr">
        <is>
          <t>GPTE52</t>
        </is>
      </c>
      <c r="C266" s="12" t="inlineStr">
        <is>
          <t>SPLIT HEAD QUEEN</t>
        </is>
      </c>
      <c r="D266" s="12" t="inlineStr">
        <is>
          <t>Zipper</t>
        </is>
      </c>
      <c r="E266" s="12" t="inlineStr">
        <is>
          <t>Nylon coil zipper #3</t>
        </is>
      </c>
      <c r="F266" s="12" t="inlineStr">
        <is>
          <t>Nylon</t>
        </is>
      </c>
      <c r="G266" s="12" t="inlineStr">
        <is>
          <t>4.82m per piece</t>
        </is>
      </c>
      <c r="H266" s="12" t="inlineStr">
        <is>
          <t>Around encasement perimeter</t>
        </is>
      </c>
      <c r="I266" s="12" t="inlineStr">
        <is>
          <t>Mattress protector</t>
        </is>
      </c>
      <c r="J266" s="20" t="n">
        <v>4.82</v>
      </c>
      <c r="K266" s="19" t="inlineStr">
        <is>
          <t>meters</t>
        </is>
      </c>
      <c r="L266" s="19" t="n">
        <v>2</v>
      </c>
      <c r="M266" s="16">
        <f>IFERROR(J266*(1+IFERROR(L266,0)/100)*VLOOKUP(B266,'1. Articles (SKUs)'!F:R,13,FALSE),"")</f>
        <v/>
      </c>
      <c r="N266" s="19" t="inlineStr"/>
    </row>
    <row r="267">
      <c r="A267" s="14" t="inlineStr">
        <is>
          <t>FT9</t>
        </is>
      </c>
      <c r="B267" s="14" t="inlineStr">
        <is>
          <t>GPTE52</t>
        </is>
      </c>
      <c r="C267" s="14" t="inlineStr">
        <is>
          <t>SPLIT HEAD QUEEN</t>
        </is>
      </c>
      <c r="D267" s="14" t="inlineStr">
        <is>
          <t>Thread</t>
        </is>
      </c>
      <c r="E267" s="14" t="inlineStr">
        <is>
          <t>Polyester sewing thread</t>
        </is>
      </c>
      <c r="F267" s="14" t="inlineStr">
        <is>
          <t>100% polyester spun</t>
        </is>
      </c>
      <c r="G267" s="14" t="inlineStr">
        <is>
          <t>TEX40 or 40/2</t>
        </is>
      </c>
      <c r="H267" s="14" t="inlineStr">
        <is>
          <t>All seams</t>
        </is>
      </c>
      <c r="I267" s="14" t="inlineStr">
        <is>
          <t>Mattress protector</t>
        </is>
      </c>
      <c r="J267" s="18" t="n"/>
      <c r="K267" s="19" t="inlineStr">
        <is>
          <t>meters</t>
        </is>
      </c>
      <c r="L267" s="19" t="n">
        <v>3</v>
      </c>
      <c r="M267" s="17">
        <f>IFERROR(J267*(1+IFERROR(L267,0)/100)*VLOOKUP(B267,'1. Articles (SKUs)'!F:R,13,FALSE),"")</f>
        <v/>
      </c>
      <c r="N267" s="19" t="inlineStr"/>
    </row>
    <row r="268">
      <c r="A268" s="12" t="inlineStr">
        <is>
          <t>FT9</t>
        </is>
      </c>
      <c r="B268" s="12" t="inlineStr">
        <is>
          <t>GPTE52</t>
        </is>
      </c>
      <c r="C268" s="12" t="inlineStr">
        <is>
          <t>SPLIT HEAD QUEEN</t>
        </is>
      </c>
      <c r="D268" s="12" t="inlineStr">
        <is>
          <t>Law Tag</t>
        </is>
      </c>
      <c r="E268" s="12" t="inlineStr">
        <is>
          <t>Non woven label with coating</t>
        </is>
      </c>
      <c r="F268" s="12" t="inlineStr">
        <is>
          <t>3M non woven material with white ground / black color font  (INK CANNOT DISCOLORATION AND STAIN ON PRODUCT)</t>
        </is>
      </c>
      <c r="G268" s="12" t="inlineStr">
        <is>
          <t>4.0cmX7.0cm</t>
        </is>
      </c>
      <c r="H268" s="12" t="inlineStr">
        <is>
          <t>Position of Law Tag label – Sewing at the middle of short si</t>
        </is>
      </c>
      <c r="I268" s="12" t="inlineStr">
        <is>
          <t>Law tag/Care label</t>
        </is>
      </c>
      <c r="J268" s="20" t="n">
        <v>1</v>
      </c>
      <c r="K268" s="20" t="inlineStr">
        <is>
          <t>pcs</t>
        </is>
      </c>
      <c r="L268" s="19" t="n">
        <v>2</v>
      </c>
      <c r="M268" s="16">
        <f>IFERROR(J268*(1+IFERROR(L268,0)/100)*VLOOKUP(B268,'1. Articles (SKUs)'!F:R,13,FALSE),"")</f>
        <v/>
      </c>
      <c r="N268" s="19" t="inlineStr"/>
    </row>
    <row r="269">
      <c r="A269" s="14" t="inlineStr">
        <is>
          <t>FT9</t>
        </is>
      </c>
      <c r="B269" s="14" t="inlineStr">
        <is>
          <t>GPTE52</t>
        </is>
      </c>
      <c r="C269" s="14" t="inlineStr">
        <is>
          <t>SPLIT HEAD QUEEN</t>
        </is>
      </c>
      <c r="D269" s="14" t="inlineStr">
        <is>
          <t>Size Label</t>
        </is>
      </c>
      <c r="E269" s="14" t="inlineStr">
        <is>
          <t>Non woven label with coating</t>
        </is>
      </c>
      <c r="F269" s="14" t="inlineStr">
        <is>
          <t>3M non woven material with white ground / black color font  (INK CANNOT DISCOLORATION AND STAIN ON PRODUCT)</t>
        </is>
      </c>
      <c r="G269" s="14" t="inlineStr">
        <is>
          <t>4.0cmX3.0cm</t>
        </is>
      </c>
      <c r="H269" s="14" t="inlineStr">
        <is>
          <t>Next the law tag label</t>
        </is>
      </c>
      <c r="I269" s="14" t="inlineStr">
        <is>
          <t>Size label</t>
        </is>
      </c>
      <c r="J269" s="20" t="n">
        <v>1</v>
      </c>
      <c r="K269" s="20" t="inlineStr">
        <is>
          <t>pcs</t>
        </is>
      </c>
      <c r="L269" s="19" t="n">
        <v>2</v>
      </c>
      <c r="M269" s="17">
        <f>IFERROR(J269*(1+IFERROR(L269,0)/100)*VLOOKUP(B269,'1. Articles (SKUs)'!F:R,13,FALSE),"")</f>
        <v/>
      </c>
      <c r="N269" s="19" t="inlineStr"/>
    </row>
    <row r="270">
      <c r="A270" s="12" t="inlineStr">
        <is>
          <t>FT9</t>
        </is>
      </c>
      <c r="B270" s="12" t="inlineStr">
        <is>
          <t>GPTE52</t>
        </is>
      </c>
      <c r="C270" s="12" t="inlineStr">
        <is>
          <t>SPLIT HEAD QUEEN</t>
        </is>
      </c>
      <c r="D270" s="12" t="inlineStr">
        <is>
          <t>Packaging</t>
        </is>
      </c>
      <c r="E270" s="12" t="inlineStr">
        <is>
          <t>Packaging type</t>
        </is>
      </c>
      <c r="F270" s="12" t="inlineStr">
        <is>
          <t>Color paper insert with vinyl PVC Bag with white bound seam &amp; inside cardboard wrapped by product(Stiffener)</t>
        </is>
      </c>
      <c r="G270" s="12" t="inlineStr"/>
      <c r="H270" s="12" t="inlineStr"/>
      <c r="I270" s="12" t="inlineStr">
        <is>
          <t>Main</t>
        </is>
      </c>
      <c r="J270" s="20" t="n">
        <v>1</v>
      </c>
      <c r="K270" s="20" t="inlineStr">
        <is>
          <t>pcs</t>
        </is>
      </c>
      <c r="L270" s="19" t="n">
        <v>2</v>
      </c>
      <c r="M270" s="16">
        <f>IFERROR(J270*(1+IFERROR(L270,0)/100)*VLOOKUP(B270,'1. Articles (SKUs)'!F:R,13,FALSE),"")</f>
        <v/>
      </c>
      <c r="N270" s="19" t="inlineStr"/>
    </row>
    <row r="271">
      <c r="A271" s="14" t="inlineStr">
        <is>
          <t>FT9</t>
        </is>
      </c>
      <c r="B271" s="14" t="inlineStr">
        <is>
          <t>GPTE52</t>
        </is>
      </c>
      <c r="C271" s="14" t="inlineStr">
        <is>
          <t>SPLIT HEAD QUEEN</t>
        </is>
      </c>
      <c r="D271" s="14" t="inlineStr">
        <is>
          <t>PVC Bag</t>
        </is>
      </c>
      <c r="E271" s="14" t="inlineStr">
        <is>
          <t>Bag material</t>
        </is>
      </c>
      <c r="F271" s="14" t="inlineStr">
        <is>
          <t>12S (Thickness)- Transparent PVC Bag with 7S(Thickness) White PVC White Binding all around seam and 3# Nylon Coil White Zipper(No Hanger Loop on top)</t>
        </is>
      </c>
      <c r="G271" s="14" t="inlineStr"/>
      <c r="H271" s="14" t="inlineStr"/>
      <c r="I271" s="14" t="inlineStr">
        <is>
          <t>Mattress protector</t>
        </is>
      </c>
      <c r="J271" s="20" t="n">
        <v>1</v>
      </c>
      <c r="K271" s="20" t="inlineStr">
        <is>
          <t>pcs</t>
        </is>
      </c>
      <c r="L271" s="19" t="n">
        <v>2</v>
      </c>
      <c r="M271" s="17">
        <f>IFERROR(J271*(1+IFERROR(L271,0)/100)*VLOOKUP(B271,'1. Articles (SKUs)'!F:R,13,FALSE),"")</f>
        <v/>
      </c>
      <c r="N271" s="19" t="inlineStr"/>
    </row>
    <row r="272">
      <c r="A272" s="12" t="inlineStr">
        <is>
          <t>FT9</t>
        </is>
      </c>
      <c r="B272" s="12" t="inlineStr">
        <is>
          <t>GPTE52</t>
        </is>
      </c>
      <c r="C272" s="12" t="inlineStr">
        <is>
          <t>SPLIT HEAD QUEEN</t>
        </is>
      </c>
      <c r="D272" s="12" t="inlineStr">
        <is>
          <t>Insert Card</t>
        </is>
      </c>
      <c r="E272" s="12" t="inlineStr">
        <is>
          <t>Color paper insert material</t>
        </is>
      </c>
      <c r="F272" s="12" t="inlineStr">
        <is>
          <t>Printed Insert quality -  INSERT (“U” Shape) - Insert Material: 250g-300g White Card Paper with Coating both side</t>
        </is>
      </c>
      <c r="G272" s="12" t="inlineStr"/>
      <c r="H272" s="12" t="inlineStr"/>
      <c r="I272" s="12" t="inlineStr">
        <is>
          <t>Mattress protector</t>
        </is>
      </c>
      <c r="J272" s="20" t="n">
        <v>1</v>
      </c>
      <c r="K272" s="20" t="inlineStr">
        <is>
          <t>pcs</t>
        </is>
      </c>
      <c r="L272" s="19" t="n">
        <v>2</v>
      </c>
      <c r="M272" s="16">
        <f>IFERROR(J272*(1+IFERROR(L272,0)/100)*VLOOKUP(B272,'1. Articles (SKUs)'!F:R,13,FALSE),"")</f>
        <v/>
      </c>
      <c r="N272" s="19" t="inlineStr"/>
    </row>
    <row r="273">
      <c r="A273" s="14" t="inlineStr">
        <is>
          <t>FT9</t>
        </is>
      </c>
      <c r="B273" s="14" t="inlineStr">
        <is>
          <t>GPTE52</t>
        </is>
      </c>
      <c r="C273" s="14" t="inlineStr">
        <is>
          <t>SPLIT HEAD QUEEN</t>
        </is>
      </c>
      <c r="D273" s="14" t="inlineStr">
        <is>
          <t>Stiffener</t>
        </is>
      </c>
      <c r="E273" s="14" t="inlineStr">
        <is>
          <t>Cardboard material(Stiffener)</t>
        </is>
      </c>
      <c r="F273" s="14" t="inlineStr">
        <is>
          <t>Packaging inside need to put a “U”  1 ply thickness(1 layers with 1 layer corrugated ) in White Cardboard to maintain the shape before putting into the box</t>
        </is>
      </c>
      <c r="G273" s="14" t="inlineStr"/>
      <c r="H273" s="14" t="inlineStr"/>
      <c r="I273" s="14" t="inlineStr">
        <is>
          <t>Mattress protector</t>
        </is>
      </c>
      <c r="J273" s="20" t="n">
        <v>1</v>
      </c>
      <c r="K273" s="20" t="inlineStr">
        <is>
          <t>pcs</t>
        </is>
      </c>
      <c r="L273" s="19" t="n">
        <v>2</v>
      </c>
      <c r="M273" s="17">
        <f>IFERROR(J273*(1+IFERROR(L273,0)/100)*VLOOKUP(B273,'1. Articles (SKUs)'!F:R,13,FALSE),"")</f>
        <v/>
      </c>
      <c r="N273" s="19" t="inlineStr"/>
    </row>
    <row r="274">
      <c r="A274" s="12" t="inlineStr">
        <is>
          <t>FT9</t>
        </is>
      </c>
      <c r="B274" s="12" t="inlineStr">
        <is>
          <t>GPTE52</t>
        </is>
      </c>
      <c r="C274" s="12" t="inlineStr">
        <is>
          <t>SPLIT HEAD QUEEN</t>
        </is>
      </c>
      <c r="D274" s="12" t="inlineStr">
        <is>
          <t>Size Sticker</t>
        </is>
      </c>
      <c r="E274" s="12" t="inlineStr">
        <is>
          <t>Size Sticker</t>
        </is>
      </c>
      <c r="F274" s="12" t="inlineStr">
        <is>
          <t>Direct print on insert</t>
        </is>
      </c>
      <c r="G274" s="12" t="inlineStr"/>
      <c r="H274" s="12" t="inlineStr"/>
      <c r="I274" s="12" t="inlineStr">
        <is>
          <t>Mattress protector</t>
        </is>
      </c>
      <c r="J274" s="20" t="n">
        <v>1</v>
      </c>
      <c r="K274" s="20" t="inlineStr">
        <is>
          <t>pcs</t>
        </is>
      </c>
      <c r="L274" s="19" t="n">
        <v>2</v>
      </c>
      <c r="M274" s="16">
        <f>IFERROR(J274*(1+IFERROR(L274,0)/100)*VLOOKUP(B274,'1. Articles (SKUs)'!F:R,13,FALSE),"")</f>
        <v/>
      </c>
      <c r="N274" s="19" t="inlineStr"/>
    </row>
    <row r="275">
      <c r="A275" s="14" t="inlineStr">
        <is>
          <t>FT9</t>
        </is>
      </c>
      <c r="B275" s="14" t="inlineStr">
        <is>
          <t>GPTE52</t>
        </is>
      </c>
      <c r="C275" s="14" t="inlineStr">
        <is>
          <t>SPLIT HEAD QUEEN</t>
        </is>
      </c>
      <c r="D275" s="14" t="inlineStr">
        <is>
          <t>Barcode Sticker</t>
        </is>
      </c>
      <c r="E275" s="14" t="inlineStr">
        <is>
          <t>Barcode sticker</t>
        </is>
      </c>
      <c r="F275" s="14" t="inlineStr">
        <is>
          <t>All barcode (SKU) sticker must be stick on the PVC Bag (CANNOT PUT ON THE INSERT)</t>
        </is>
      </c>
      <c r="G275" s="14" t="inlineStr"/>
      <c r="H275" s="14" t="inlineStr"/>
      <c r="I275" s="14" t="inlineStr">
        <is>
          <t>Mattress protector</t>
        </is>
      </c>
      <c r="J275" s="20" t="n">
        <v>1</v>
      </c>
      <c r="K275" s="20" t="inlineStr">
        <is>
          <t>pcs</t>
        </is>
      </c>
      <c r="L275" s="19" t="n">
        <v>2</v>
      </c>
      <c r="M275" s="17">
        <f>IFERROR(J275*(1+IFERROR(L275,0)/100)*VLOOKUP(B275,'1. Articles (SKUs)'!F:R,13,FALSE),"")</f>
        <v/>
      </c>
      <c r="N275" s="19" t="inlineStr"/>
    </row>
    <row r="276">
      <c r="A276" s="12" t="inlineStr">
        <is>
          <t>FT9</t>
        </is>
      </c>
      <c r="B276" s="12" t="inlineStr">
        <is>
          <t>GPTE52</t>
        </is>
      </c>
      <c r="C276" s="12" t="inlineStr">
        <is>
          <t>SPLIT HEAD QUEEN</t>
        </is>
      </c>
      <c r="D276" s="12" t="inlineStr">
        <is>
          <t>Barcode Sticker Size</t>
        </is>
      </c>
      <c r="E276" s="12" t="inlineStr">
        <is>
          <t>Barcode Sticker /Size</t>
        </is>
      </c>
      <c r="F276" s="12" t="inlineStr">
        <is>
          <t>White ground with black fonts / 76mmx23mm</t>
        </is>
      </c>
      <c r="G276" s="12" t="inlineStr"/>
      <c r="H276" s="12" t="inlineStr"/>
      <c r="I276" s="12" t="inlineStr">
        <is>
          <t>Mattress protector</t>
        </is>
      </c>
      <c r="J276" s="20" t="n">
        <v>1</v>
      </c>
      <c r="K276" s="20" t="inlineStr">
        <is>
          <t>pcs</t>
        </is>
      </c>
      <c r="L276" s="19" t="n">
        <v>2</v>
      </c>
      <c r="M276" s="16">
        <f>IFERROR(J276*(1+IFERROR(L276,0)/100)*VLOOKUP(B276,'1. Articles (SKUs)'!F:R,13,FALSE),"")</f>
        <v/>
      </c>
      <c r="N276" s="19" t="inlineStr"/>
    </row>
    <row r="277">
      <c r="A277" s="14" t="inlineStr">
        <is>
          <t>FT9</t>
        </is>
      </c>
      <c r="B277" s="14" t="inlineStr">
        <is>
          <t>GPTE52</t>
        </is>
      </c>
      <c r="C277" s="14" t="inlineStr">
        <is>
          <t>SPLIT HEAD QUEEN</t>
        </is>
      </c>
      <c r="D277" s="14" t="inlineStr">
        <is>
          <t>Stiffener</t>
        </is>
      </c>
      <c r="E277" s="14" t="inlineStr">
        <is>
          <t>Cardboard</t>
        </is>
      </c>
      <c r="F277" s="14" t="inlineStr">
        <is>
          <t>Packaging inside need to put a “U”  1 ply thickness(1 layers with 1 layer corrugated ) in White Cardboard to maintain the shape before putting into the box</t>
        </is>
      </c>
      <c r="G277" s="14" t="inlineStr"/>
      <c r="H277" s="14" t="inlineStr"/>
      <c r="I277" s="14" t="inlineStr">
        <is>
          <t>Mattress protector</t>
        </is>
      </c>
      <c r="J277" s="20" t="n">
        <v>1</v>
      </c>
      <c r="K277" s="20" t="inlineStr">
        <is>
          <t>pcs</t>
        </is>
      </c>
      <c r="L277" s="19" t="n">
        <v>2</v>
      </c>
      <c r="M277" s="17">
        <f>IFERROR(J277*(1+IFERROR(L277,0)/100)*VLOOKUP(B277,'1. Articles (SKUs)'!F:R,13,FALSE),"")</f>
        <v/>
      </c>
      <c r="N277" s="19" t="inlineStr"/>
    </row>
    <row r="278">
      <c r="A278" s="12" t="inlineStr">
        <is>
          <t>FT9</t>
        </is>
      </c>
      <c r="B278" s="12" t="inlineStr">
        <is>
          <t>GPTE52</t>
        </is>
      </c>
      <c r="C278" s="12" t="inlineStr">
        <is>
          <t>SPLIT HEAD QUEEN</t>
        </is>
      </c>
      <c r="D278" s="12" t="inlineStr">
        <is>
          <t>Stiffener Size</t>
        </is>
      </c>
      <c r="E278" s="12" t="inlineStr">
        <is>
          <t>cardboard size</t>
        </is>
      </c>
      <c r="F278" s="12" t="inlineStr">
        <is>
          <t>Please refer spec sheet</t>
        </is>
      </c>
      <c r="G278" s="12" t="inlineStr"/>
      <c r="H278" s="12" t="inlineStr"/>
      <c r="I278" s="12" t="inlineStr">
        <is>
          <t>Mattress protector</t>
        </is>
      </c>
      <c r="J278" s="20" t="n">
        <v>1</v>
      </c>
      <c r="K278" s="20" t="inlineStr">
        <is>
          <t>pcs</t>
        </is>
      </c>
      <c r="L278" s="19" t="n">
        <v>2</v>
      </c>
      <c r="M278" s="16">
        <f>IFERROR(J278*(1+IFERROR(L278,0)/100)*VLOOKUP(B278,'1. Articles (SKUs)'!F:R,13,FALSE),"")</f>
        <v/>
      </c>
      <c r="N278" s="19" t="inlineStr"/>
    </row>
    <row r="279">
      <c r="A279" s="14" t="inlineStr">
        <is>
          <t>FT9</t>
        </is>
      </c>
      <c r="B279" s="14" t="inlineStr">
        <is>
          <t>GPTE79</t>
        </is>
      </c>
      <c r="C279" s="14" t="inlineStr">
        <is>
          <t>SPLIT HEAD KING</t>
        </is>
      </c>
      <c r="D279" s="14" t="inlineStr">
        <is>
          <t>Zipper</t>
        </is>
      </c>
      <c r="E279" s="14" t="inlineStr">
        <is>
          <t>Nylon coil zipper #3</t>
        </is>
      </c>
      <c r="F279" s="14" t="inlineStr">
        <is>
          <t>Nylon</t>
        </is>
      </c>
      <c r="G279" s="14" t="inlineStr">
        <is>
          <t>5.28m per piece</t>
        </is>
      </c>
      <c r="H279" s="14" t="inlineStr">
        <is>
          <t>Around encasement perimeter</t>
        </is>
      </c>
      <c r="I279" s="14" t="inlineStr">
        <is>
          <t>Mattress protector</t>
        </is>
      </c>
      <c r="J279" s="20" t="n">
        <v>5.28</v>
      </c>
      <c r="K279" s="19" t="inlineStr">
        <is>
          <t>meters</t>
        </is>
      </c>
      <c r="L279" s="19" t="n">
        <v>2</v>
      </c>
      <c r="M279" s="17">
        <f>IFERROR(J279*(1+IFERROR(L279,0)/100)*VLOOKUP(B279,'1. Articles (SKUs)'!F:R,13,FALSE),"")</f>
        <v/>
      </c>
      <c r="N279" s="19" t="inlineStr"/>
    </row>
    <row r="280">
      <c r="A280" s="12" t="inlineStr">
        <is>
          <t>FT9</t>
        </is>
      </c>
      <c r="B280" s="12" t="inlineStr">
        <is>
          <t>GPTE79</t>
        </is>
      </c>
      <c r="C280" s="12" t="inlineStr">
        <is>
          <t>SPLIT HEAD KING</t>
        </is>
      </c>
      <c r="D280" s="12" t="inlineStr">
        <is>
          <t>Thread</t>
        </is>
      </c>
      <c r="E280" s="12" t="inlineStr">
        <is>
          <t>Polyester sewing thread</t>
        </is>
      </c>
      <c r="F280" s="12" t="inlineStr">
        <is>
          <t>100% polyester spun</t>
        </is>
      </c>
      <c r="G280" s="12" t="inlineStr">
        <is>
          <t>TEX40 or 40/2</t>
        </is>
      </c>
      <c r="H280" s="12" t="inlineStr">
        <is>
          <t>All seams</t>
        </is>
      </c>
      <c r="I280" s="12" t="inlineStr">
        <is>
          <t>Mattress protector</t>
        </is>
      </c>
      <c r="J280" s="18" t="n"/>
      <c r="K280" s="19" t="inlineStr">
        <is>
          <t>meters</t>
        </is>
      </c>
      <c r="L280" s="19" t="n">
        <v>3</v>
      </c>
      <c r="M280" s="16">
        <f>IFERROR(J280*(1+IFERROR(L280,0)/100)*VLOOKUP(B280,'1. Articles (SKUs)'!F:R,13,FALSE),"")</f>
        <v/>
      </c>
      <c r="N280" s="19" t="inlineStr"/>
    </row>
    <row r="281">
      <c r="A281" s="14" t="inlineStr">
        <is>
          <t>FT9</t>
        </is>
      </c>
      <c r="B281" s="14" t="inlineStr">
        <is>
          <t>GPTE79</t>
        </is>
      </c>
      <c r="C281" s="14" t="inlineStr">
        <is>
          <t>SPLIT HEAD KING</t>
        </is>
      </c>
      <c r="D281" s="14" t="inlineStr">
        <is>
          <t>Law Tag</t>
        </is>
      </c>
      <c r="E281" s="14" t="inlineStr">
        <is>
          <t>Non woven label with coating</t>
        </is>
      </c>
      <c r="F281" s="14" t="inlineStr">
        <is>
          <t>3M non woven material with white ground / black color font  (INK CANNOT DISCOLORATION AND STAIN ON PRODUCT)</t>
        </is>
      </c>
      <c r="G281" s="14" t="inlineStr">
        <is>
          <t>4.0cmX7.0cm</t>
        </is>
      </c>
      <c r="H281" s="14" t="inlineStr">
        <is>
          <t>Position of Law Tag label – Sewing at the middle of short si</t>
        </is>
      </c>
      <c r="I281" s="14" t="inlineStr">
        <is>
          <t>Law tag/Care label</t>
        </is>
      </c>
      <c r="J281" s="20" t="n">
        <v>1</v>
      </c>
      <c r="K281" s="20" t="inlineStr">
        <is>
          <t>pcs</t>
        </is>
      </c>
      <c r="L281" s="19" t="n">
        <v>2</v>
      </c>
      <c r="M281" s="17">
        <f>IFERROR(J281*(1+IFERROR(L281,0)/100)*VLOOKUP(B281,'1. Articles (SKUs)'!F:R,13,FALSE),"")</f>
        <v/>
      </c>
      <c r="N281" s="19" t="inlineStr"/>
    </row>
    <row r="282">
      <c r="A282" s="12" t="inlineStr">
        <is>
          <t>FT9</t>
        </is>
      </c>
      <c r="B282" s="12" t="inlineStr">
        <is>
          <t>GPTE79</t>
        </is>
      </c>
      <c r="C282" s="12" t="inlineStr">
        <is>
          <t>SPLIT HEAD KING</t>
        </is>
      </c>
      <c r="D282" s="12" t="inlineStr">
        <is>
          <t>Size Label</t>
        </is>
      </c>
      <c r="E282" s="12" t="inlineStr">
        <is>
          <t>Non woven label with coating</t>
        </is>
      </c>
      <c r="F282" s="12" t="inlineStr">
        <is>
          <t>3M non woven material with white ground / black color font  (INK CANNOT DISCOLORATION AND STAIN ON PRODUCT)</t>
        </is>
      </c>
      <c r="G282" s="12" t="inlineStr">
        <is>
          <t>4.0cmX3.0cm</t>
        </is>
      </c>
      <c r="H282" s="12" t="inlineStr">
        <is>
          <t>Next the law tag label</t>
        </is>
      </c>
      <c r="I282" s="12" t="inlineStr">
        <is>
          <t>Size label</t>
        </is>
      </c>
      <c r="J282" s="20" t="n">
        <v>1</v>
      </c>
      <c r="K282" s="20" t="inlineStr">
        <is>
          <t>pcs</t>
        </is>
      </c>
      <c r="L282" s="19" t="n">
        <v>2</v>
      </c>
      <c r="M282" s="16">
        <f>IFERROR(J282*(1+IFERROR(L282,0)/100)*VLOOKUP(B282,'1. Articles (SKUs)'!F:R,13,FALSE),"")</f>
        <v/>
      </c>
      <c r="N282" s="19" t="inlineStr"/>
    </row>
    <row r="283">
      <c r="A283" s="14" t="inlineStr">
        <is>
          <t>FT9</t>
        </is>
      </c>
      <c r="B283" s="14" t="inlineStr">
        <is>
          <t>GPTE79</t>
        </is>
      </c>
      <c r="C283" s="14" t="inlineStr">
        <is>
          <t>SPLIT HEAD KING</t>
        </is>
      </c>
      <c r="D283" s="14" t="inlineStr">
        <is>
          <t>Packaging</t>
        </is>
      </c>
      <c r="E283" s="14" t="inlineStr">
        <is>
          <t>Packaging type</t>
        </is>
      </c>
      <c r="F283" s="14" t="inlineStr">
        <is>
          <t>Color paper insert with vinyl PVC Bag with white bound seam &amp; inside cardboard wrapped by product(Stiffener)</t>
        </is>
      </c>
      <c r="G283" s="14" t="inlineStr"/>
      <c r="H283" s="14" t="inlineStr"/>
      <c r="I283" s="14" t="inlineStr">
        <is>
          <t>Main</t>
        </is>
      </c>
      <c r="J283" s="20" t="n">
        <v>1</v>
      </c>
      <c r="K283" s="20" t="inlineStr">
        <is>
          <t>pcs</t>
        </is>
      </c>
      <c r="L283" s="19" t="n">
        <v>2</v>
      </c>
      <c r="M283" s="17">
        <f>IFERROR(J283*(1+IFERROR(L283,0)/100)*VLOOKUP(B283,'1. Articles (SKUs)'!F:R,13,FALSE),"")</f>
        <v/>
      </c>
      <c r="N283" s="19" t="inlineStr"/>
    </row>
    <row r="284">
      <c r="A284" s="12" t="inlineStr">
        <is>
          <t>FT9</t>
        </is>
      </c>
      <c r="B284" s="12" t="inlineStr">
        <is>
          <t>GPTE79</t>
        </is>
      </c>
      <c r="C284" s="12" t="inlineStr">
        <is>
          <t>SPLIT HEAD KING</t>
        </is>
      </c>
      <c r="D284" s="12" t="inlineStr">
        <is>
          <t>PVC Bag</t>
        </is>
      </c>
      <c r="E284" s="12" t="inlineStr">
        <is>
          <t>Bag material</t>
        </is>
      </c>
      <c r="F284" s="12" t="inlineStr">
        <is>
          <t>12S (Thickness)- Transparent PVC Bag with 7S(Thickness) White PVC White Binding all around seam and 3# Nylon Coil White Zipper(No Hanger Loop on top)</t>
        </is>
      </c>
      <c r="G284" s="12" t="inlineStr"/>
      <c r="H284" s="12" t="inlineStr"/>
      <c r="I284" s="12" t="inlineStr">
        <is>
          <t>Mattress protector</t>
        </is>
      </c>
      <c r="J284" s="20" t="n">
        <v>1</v>
      </c>
      <c r="K284" s="20" t="inlineStr">
        <is>
          <t>pcs</t>
        </is>
      </c>
      <c r="L284" s="19" t="n">
        <v>2</v>
      </c>
      <c r="M284" s="16">
        <f>IFERROR(J284*(1+IFERROR(L284,0)/100)*VLOOKUP(B284,'1. Articles (SKUs)'!F:R,13,FALSE),"")</f>
        <v/>
      </c>
      <c r="N284" s="19" t="inlineStr"/>
    </row>
    <row r="285">
      <c r="A285" s="14" t="inlineStr">
        <is>
          <t>FT9</t>
        </is>
      </c>
      <c r="B285" s="14" t="inlineStr">
        <is>
          <t>GPTE79</t>
        </is>
      </c>
      <c r="C285" s="14" t="inlineStr">
        <is>
          <t>SPLIT HEAD KING</t>
        </is>
      </c>
      <c r="D285" s="14" t="inlineStr">
        <is>
          <t>Insert Card</t>
        </is>
      </c>
      <c r="E285" s="14" t="inlineStr">
        <is>
          <t>Color paper insert material</t>
        </is>
      </c>
      <c r="F285" s="14" t="inlineStr">
        <is>
          <t>Printed Insert quality -  INSERT (“U” Shape) - Insert Material: 250g-300g White Card Paper with Coating both side</t>
        </is>
      </c>
      <c r="G285" s="14" t="inlineStr"/>
      <c r="H285" s="14" t="inlineStr"/>
      <c r="I285" s="14" t="inlineStr">
        <is>
          <t>Mattress protector</t>
        </is>
      </c>
      <c r="J285" s="20" t="n">
        <v>1</v>
      </c>
      <c r="K285" s="20" t="inlineStr">
        <is>
          <t>pcs</t>
        </is>
      </c>
      <c r="L285" s="19" t="n">
        <v>2</v>
      </c>
      <c r="M285" s="17">
        <f>IFERROR(J285*(1+IFERROR(L285,0)/100)*VLOOKUP(B285,'1. Articles (SKUs)'!F:R,13,FALSE),"")</f>
        <v/>
      </c>
      <c r="N285" s="19" t="inlineStr"/>
    </row>
    <row r="286">
      <c r="A286" s="12" t="inlineStr">
        <is>
          <t>FT9</t>
        </is>
      </c>
      <c r="B286" s="12" t="inlineStr">
        <is>
          <t>GPTE79</t>
        </is>
      </c>
      <c r="C286" s="12" t="inlineStr">
        <is>
          <t>SPLIT HEAD KING</t>
        </is>
      </c>
      <c r="D286" s="12" t="inlineStr">
        <is>
          <t>Stiffener</t>
        </is>
      </c>
      <c r="E286" s="12" t="inlineStr">
        <is>
          <t>Cardboard material(Stiffener)</t>
        </is>
      </c>
      <c r="F286" s="12" t="inlineStr">
        <is>
          <t>Packaging inside need to put a “U”  1 ply thickness(1 layers with 1 layer corrugated ) in White Cardboard to maintain the shape before putting into the box</t>
        </is>
      </c>
      <c r="G286" s="12" t="inlineStr"/>
      <c r="H286" s="12" t="inlineStr"/>
      <c r="I286" s="12" t="inlineStr">
        <is>
          <t>Mattress protector</t>
        </is>
      </c>
      <c r="J286" s="20" t="n">
        <v>1</v>
      </c>
      <c r="K286" s="20" t="inlineStr">
        <is>
          <t>pcs</t>
        </is>
      </c>
      <c r="L286" s="19" t="n">
        <v>2</v>
      </c>
      <c r="M286" s="16">
        <f>IFERROR(J286*(1+IFERROR(L286,0)/100)*VLOOKUP(B286,'1. Articles (SKUs)'!F:R,13,FALSE),"")</f>
        <v/>
      </c>
      <c r="N286" s="19" t="inlineStr"/>
    </row>
    <row r="287">
      <c r="A287" s="14" t="inlineStr">
        <is>
          <t>FT9</t>
        </is>
      </c>
      <c r="B287" s="14" t="inlineStr">
        <is>
          <t>GPTE79</t>
        </is>
      </c>
      <c r="C287" s="14" t="inlineStr">
        <is>
          <t>SPLIT HEAD KING</t>
        </is>
      </c>
      <c r="D287" s="14" t="inlineStr">
        <is>
          <t>Size Sticker</t>
        </is>
      </c>
      <c r="E287" s="14" t="inlineStr">
        <is>
          <t>Size Sticker</t>
        </is>
      </c>
      <c r="F287" s="14" t="inlineStr">
        <is>
          <t>Direct print on insert</t>
        </is>
      </c>
      <c r="G287" s="14" t="inlineStr"/>
      <c r="H287" s="14" t="inlineStr"/>
      <c r="I287" s="14" t="inlineStr">
        <is>
          <t>Mattress protector</t>
        </is>
      </c>
      <c r="J287" s="20" t="n">
        <v>1</v>
      </c>
      <c r="K287" s="20" t="inlineStr">
        <is>
          <t>pcs</t>
        </is>
      </c>
      <c r="L287" s="19" t="n">
        <v>2</v>
      </c>
      <c r="M287" s="17">
        <f>IFERROR(J287*(1+IFERROR(L287,0)/100)*VLOOKUP(B287,'1. Articles (SKUs)'!F:R,13,FALSE),"")</f>
        <v/>
      </c>
      <c r="N287" s="19" t="inlineStr"/>
    </row>
    <row r="288">
      <c r="A288" s="12" t="inlineStr">
        <is>
          <t>FT9</t>
        </is>
      </c>
      <c r="B288" s="12" t="inlineStr">
        <is>
          <t>GPTE79</t>
        </is>
      </c>
      <c r="C288" s="12" t="inlineStr">
        <is>
          <t>SPLIT HEAD KING</t>
        </is>
      </c>
      <c r="D288" s="12" t="inlineStr">
        <is>
          <t>Barcode Sticker</t>
        </is>
      </c>
      <c r="E288" s="12" t="inlineStr">
        <is>
          <t>Barcode sticker</t>
        </is>
      </c>
      <c r="F288" s="12" t="inlineStr">
        <is>
          <t>All barcode (SKU) sticker must be stick on the PVC Bag (CANNOT PUT ON THE INSERT)</t>
        </is>
      </c>
      <c r="G288" s="12" t="inlineStr"/>
      <c r="H288" s="12" t="inlineStr"/>
      <c r="I288" s="12" t="inlineStr">
        <is>
          <t>Mattress protector</t>
        </is>
      </c>
      <c r="J288" s="20" t="n">
        <v>1</v>
      </c>
      <c r="K288" s="20" t="inlineStr">
        <is>
          <t>pcs</t>
        </is>
      </c>
      <c r="L288" s="19" t="n">
        <v>2</v>
      </c>
      <c r="M288" s="16">
        <f>IFERROR(J288*(1+IFERROR(L288,0)/100)*VLOOKUP(B288,'1. Articles (SKUs)'!F:R,13,FALSE),"")</f>
        <v/>
      </c>
      <c r="N288" s="19" t="inlineStr"/>
    </row>
    <row r="289">
      <c r="A289" s="14" t="inlineStr">
        <is>
          <t>FT9</t>
        </is>
      </c>
      <c r="B289" s="14" t="inlineStr">
        <is>
          <t>GPTE79</t>
        </is>
      </c>
      <c r="C289" s="14" t="inlineStr">
        <is>
          <t>SPLIT HEAD KING</t>
        </is>
      </c>
      <c r="D289" s="14" t="inlineStr">
        <is>
          <t>Barcode Sticker Size</t>
        </is>
      </c>
      <c r="E289" s="14" t="inlineStr">
        <is>
          <t>Barcode Sticker /Size</t>
        </is>
      </c>
      <c r="F289" s="14" t="inlineStr">
        <is>
          <t>White ground with black fonts / 76mmx23mm</t>
        </is>
      </c>
      <c r="G289" s="14" t="inlineStr"/>
      <c r="H289" s="14" t="inlineStr"/>
      <c r="I289" s="14" t="inlineStr">
        <is>
          <t>Mattress protector</t>
        </is>
      </c>
      <c r="J289" s="20" t="n">
        <v>1</v>
      </c>
      <c r="K289" s="20" t="inlineStr">
        <is>
          <t>pcs</t>
        </is>
      </c>
      <c r="L289" s="19" t="n">
        <v>2</v>
      </c>
      <c r="M289" s="17">
        <f>IFERROR(J289*(1+IFERROR(L289,0)/100)*VLOOKUP(B289,'1. Articles (SKUs)'!F:R,13,FALSE),"")</f>
        <v/>
      </c>
      <c r="N289" s="19" t="inlineStr"/>
    </row>
    <row r="290">
      <c r="A290" s="12" t="inlineStr">
        <is>
          <t>FT9</t>
        </is>
      </c>
      <c r="B290" s="12" t="inlineStr">
        <is>
          <t>GPTE79</t>
        </is>
      </c>
      <c r="C290" s="12" t="inlineStr">
        <is>
          <t>SPLIT HEAD KING</t>
        </is>
      </c>
      <c r="D290" s="12" t="inlineStr">
        <is>
          <t>Stiffener</t>
        </is>
      </c>
      <c r="E290" s="12" t="inlineStr">
        <is>
          <t>Cardboard</t>
        </is>
      </c>
      <c r="F290" s="12" t="inlineStr">
        <is>
          <t>Packaging inside need to put a “U”  1 ply thickness(1 layers with 1 layer corrugated ) in White Cardboard to maintain the shape before putting into the box</t>
        </is>
      </c>
      <c r="G290" s="12" t="inlineStr"/>
      <c r="H290" s="12" t="inlineStr"/>
      <c r="I290" s="12" t="inlineStr">
        <is>
          <t>Mattress protector</t>
        </is>
      </c>
      <c r="J290" s="20" t="n">
        <v>1</v>
      </c>
      <c r="K290" s="20" t="inlineStr">
        <is>
          <t>pcs</t>
        </is>
      </c>
      <c r="L290" s="19" t="n">
        <v>2</v>
      </c>
      <c r="M290" s="16">
        <f>IFERROR(J290*(1+IFERROR(L290,0)/100)*VLOOKUP(B290,'1. Articles (SKUs)'!F:R,13,FALSE),"")</f>
        <v/>
      </c>
      <c r="N290" s="19" t="inlineStr"/>
    </row>
    <row r="291">
      <c r="A291" s="14" t="inlineStr">
        <is>
          <t>FT9</t>
        </is>
      </c>
      <c r="B291" s="14" t="inlineStr">
        <is>
          <t>GPTE79</t>
        </is>
      </c>
      <c r="C291" s="14" t="inlineStr">
        <is>
          <t>SPLIT HEAD KING</t>
        </is>
      </c>
      <c r="D291" s="14" t="inlineStr">
        <is>
          <t>Stiffener Size</t>
        </is>
      </c>
      <c r="E291" s="14" t="inlineStr">
        <is>
          <t>cardboard size</t>
        </is>
      </c>
      <c r="F291" s="14" t="inlineStr">
        <is>
          <t>Please refer spec sheet</t>
        </is>
      </c>
      <c r="G291" s="14" t="inlineStr"/>
      <c r="H291" s="14" t="inlineStr"/>
      <c r="I291" s="14" t="inlineStr">
        <is>
          <t>Mattress protector</t>
        </is>
      </c>
      <c r="J291" s="20" t="n">
        <v>1</v>
      </c>
      <c r="K291" s="20" t="inlineStr">
        <is>
          <t>pcs</t>
        </is>
      </c>
      <c r="L291" s="19" t="n">
        <v>2</v>
      </c>
      <c r="M291" s="17">
        <f>IFERROR(J291*(1+IFERROR(L291,0)/100)*VLOOKUP(B291,'1. Articles (SKUs)'!F:R,13,FALSE),"")</f>
        <v/>
      </c>
      <c r="N291" s="19" t="inlineStr"/>
    </row>
    <row r="292">
      <c r="A292" s="12" t="inlineStr">
        <is>
          <t>FT9</t>
        </is>
      </c>
      <c r="B292" s="12" t="inlineStr">
        <is>
          <t>GPSE33</t>
        </is>
      </c>
      <c r="C292" s="12" t="inlineStr">
        <is>
          <t>SLEEPER - TWIN</t>
        </is>
      </c>
      <c r="D292" s="12" t="inlineStr">
        <is>
          <t>Zipper</t>
        </is>
      </c>
      <c r="E292" s="12" t="inlineStr">
        <is>
          <t>Nylon coil zipper #3</t>
        </is>
      </c>
      <c r="F292" s="12" t="inlineStr">
        <is>
          <t>Nylon</t>
        </is>
      </c>
      <c r="G292" s="12" t="inlineStr">
        <is>
          <t>4.05m per piece</t>
        </is>
      </c>
      <c r="H292" s="12" t="inlineStr">
        <is>
          <t>Around encasement perimeter</t>
        </is>
      </c>
      <c r="I292" s="12" t="inlineStr">
        <is>
          <t>Mattress protector</t>
        </is>
      </c>
      <c r="J292" s="20" t="n">
        <v>4.05</v>
      </c>
      <c r="K292" s="19" t="inlineStr">
        <is>
          <t>meters</t>
        </is>
      </c>
      <c r="L292" s="19" t="n">
        <v>2</v>
      </c>
      <c r="M292" s="16">
        <f>IFERROR(J292*(1+IFERROR(L292,0)/100)*VLOOKUP(B292,'1. Articles (SKUs)'!F:R,13,FALSE),"")</f>
        <v/>
      </c>
      <c r="N292" s="19" t="inlineStr"/>
    </row>
    <row r="293">
      <c r="A293" s="14" t="inlineStr">
        <is>
          <t>FT9</t>
        </is>
      </c>
      <c r="B293" s="14" t="inlineStr">
        <is>
          <t>GPSE33</t>
        </is>
      </c>
      <c r="C293" s="14" t="inlineStr">
        <is>
          <t>SLEEPER - TWIN</t>
        </is>
      </c>
      <c r="D293" s="14" t="inlineStr">
        <is>
          <t>Thread</t>
        </is>
      </c>
      <c r="E293" s="14" t="inlineStr">
        <is>
          <t>Polyester sewing thread</t>
        </is>
      </c>
      <c r="F293" s="14" t="inlineStr">
        <is>
          <t>100% polyester spun</t>
        </is>
      </c>
      <c r="G293" s="14" t="inlineStr">
        <is>
          <t>TEX40 or 40/2</t>
        </is>
      </c>
      <c r="H293" s="14" t="inlineStr">
        <is>
          <t>All seams</t>
        </is>
      </c>
      <c r="I293" s="14" t="inlineStr">
        <is>
          <t>Mattress protector</t>
        </is>
      </c>
      <c r="J293" s="18" t="n"/>
      <c r="K293" s="19" t="inlineStr">
        <is>
          <t>meters</t>
        </is>
      </c>
      <c r="L293" s="19" t="n">
        <v>3</v>
      </c>
      <c r="M293" s="17">
        <f>IFERROR(J293*(1+IFERROR(L293,0)/100)*VLOOKUP(B293,'1. Articles (SKUs)'!F:R,13,FALSE),"")</f>
        <v/>
      </c>
      <c r="N293" s="19" t="inlineStr"/>
    </row>
    <row r="294">
      <c r="A294" s="12" t="inlineStr">
        <is>
          <t>FT9</t>
        </is>
      </c>
      <c r="B294" s="12" t="inlineStr">
        <is>
          <t>GPSE33</t>
        </is>
      </c>
      <c r="C294" s="12" t="inlineStr">
        <is>
          <t>SLEEPER - TWIN</t>
        </is>
      </c>
      <c r="D294" s="12" t="inlineStr">
        <is>
          <t>Law Tag</t>
        </is>
      </c>
      <c r="E294" s="12" t="inlineStr">
        <is>
          <t>Non woven label with coating</t>
        </is>
      </c>
      <c r="F294" s="12" t="inlineStr">
        <is>
          <t>3M non woven material with white ground / black color font  (INK CANNOT DISCOLORATION AND STAIN ON PRODUCT)</t>
        </is>
      </c>
      <c r="G294" s="12" t="inlineStr">
        <is>
          <t>4.0cmX7.0cm</t>
        </is>
      </c>
      <c r="H294" s="12" t="inlineStr">
        <is>
          <t>Position of Law Tag label – Sewing at the middle of short si</t>
        </is>
      </c>
      <c r="I294" s="12" t="inlineStr">
        <is>
          <t>Law tag/Care label</t>
        </is>
      </c>
      <c r="J294" s="20" t="n">
        <v>1</v>
      </c>
      <c r="K294" s="20" t="inlineStr">
        <is>
          <t>pcs</t>
        </is>
      </c>
      <c r="L294" s="19" t="n">
        <v>2</v>
      </c>
      <c r="M294" s="16">
        <f>IFERROR(J294*(1+IFERROR(L294,0)/100)*VLOOKUP(B294,'1. Articles (SKUs)'!F:R,13,FALSE),"")</f>
        <v/>
      </c>
      <c r="N294" s="19" t="inlineStr"/>
    </row>
    <row r="295">
      <c r="A295" s="14" t="inlineStr">
        <is>
          <t>FT9</t>
        </is>
      </c>
      <c r="B295" s="14" t="inlineStr">
        <is>
          <t>GPSE33</t>
        </is>
      </c>
      <c r="C295" s="14" t="inlineStr">
        <is>
          <t>SLEEPER - TWIN</t>
        </is>
      </c>
      <c r="D295" s="14" t="inlineStr">
        <is>
          <t>Size Label</t>
        </is>
      </c>
      <c r="E295" s="14" t="inlineStr">
        <is>
          <t>Non woven label with coating</t>
        </is>
      </c>
      <c r="F295" s="14" t="inlineStr">
        <is>
          <t>3M non woven material with white ground / black color font  (INK CANNOT DISCOLORATION AND STAIN ON PRODUCT)</t>
        </is>
      </c>
      <c r="G295" s="14" t="inlineStr">
        <is>
          <t>4.0cmX3.0cm</t>
        </is>
      </c>
      <c r="H295" s="14" t="inlineStr">
        <is>
          <t>Next the law tag label</t>
        </is>
      </c>
      <c r="I295" s="14" t="inlineStr">
        <is>
          <t>Size label</t>
        </is>
      </c>
      <c r="J295" s="20" t="n">
        <v>1</v>
      </c>
      <c r="K295" s="20" t="inlineStr">
        <is>
          <t>pcs</t>
        </is>
      </c>
      <c r="L295" s="19" t="n">
        <v>2</v>
      </c>
      <c r="M295" s="17">
        <f>IFERROR(J295*(1+IFERROR(L295,0)/100)*VLOOKUP(B295,'1. Articles (SKUs)'!F:R,13,FALSE),"")</f>
        <v/>
      </c>
      <c r="N295" s="19" t="inlineStr"/>
    </row>
    <row r="296">
      <c r="A296" s="12" t="inlineStr">
        <is>
          <t>FT9</t>
        </is>
      </c>
      <c r="B296" s="12" t="inlineStr">
        <is>
          <t>GPSE33</t>
        </is>
      </c>
      <c r="C296" s="12" t="inlineStr">
        <is>
          <t>SLEEPER - TWIN</t>
        </is>
      </c>
      <c r="D296" s="12" t="inlineStr">
        <is>
          <t>Packaging</t>
        </is>
      </c>
      <c r="E296" s="12" t="inlineStr">
        <is>
          <t>Packaging type</t>
        </is>
      </c>
      <c r="F296" s="12" t="inlineStr">
        <is>
          <t>Color paper insert with vinyl PVC Bag with white bound seam &amp; inside cardboard wrapped by product(Stiffener)</t>
        </is>
      </c>
      <c r="G296" s="12" t="inlineStr"/>
      <c r="H296" s="12" t="inlineStr"/>
      <c r="I296" s="12" t="inlineStr">
        <is>
          <t>Main</t>
        </is>
      </c>
      <c r="J296" s="20" t="n">
        <v>1</v>
      </c>
      <c r="K296" s="20" t="inlineStr">
        <is>
          <t>pcs</t>
        </is>
      </c>
      <c r="L296" s="19" t="n">
        <v>2</v>
      </c>
      <c r="M296" s="16">
        <f>IFERROR(J296*(1+IFERROR(L296,0)/100)*VLOOKUP(B296,'1. Articles (SKUs)'!F:R,13,FALSE),"")</f>
        <v/>
      </c>
      <c r="N296" s="19" t="inlineStr"/>
    </row>
    <row r="297">
      <c r="A297" s="14" t="inlineStr">
        <is>
          <t>FT9</t>
        </is>
      </c>
      <c r="B297" s="14" t="inlineStr">
        <is>
          <t>GPSE33</t>
        </is>
      </c>
      <c r="C297" s="14" t="inlineStr">
        <is>
          <t>SLEEPER - TWIN</t>
        </is>
      </c>
      <c r="D297" s="14" t="inlineStr">
        <is>
          <t>PVC Bag</t>
        </is>
      </c>
      <c r="E297" s="14" t="inlineStr">
        <is>
          <t>Bag material</t>
        </is>
      </c>
      <c r="F297" s="14" t="inlineStr">
        <is>
          <t>12S (Thickness)- Transparent PVC Bag with 7S(Thickness) White PVC White Binding all around seam and 3# Nylon Coil White Zipper(No Hanger Loop on top)</t>
        </is>
      </c>
      <c r="G297" s="14" t="inlineStr"/>
      <c r="H297" s="14" t="inlineStr"/>
      <c r="I297" s="14" t="inlineStr">
        <is>
          <t>Mattress protector</t>
        </is>
      </c>
      <c r="J297" s="20" t="n">
        <v>1</v>
      </c>
      <c r="K297" s="20" t="inlineStr">
        <is>
          <t>pcs</t>
        </is>
      </c>
      <c r="L297" s="19" t="n">
        <v>2</v>
      </c>
      <c r="M297" s="17">
        <f>IFERROR(J297*(1+IFERROR(L297,0)/100)*VLOOKUP(B297,'1. Articles (SKUs)'!F:R,13,FALSE),"")</f>
        <v/>
      </c>
      <c r="N297" s="19" t="inlineStr"/>
    </row>
    <row r="298">
      <c r="A298" s="12" t="inlineStr">
        <is>
          <t>FT9</t>
        </is>
      </c>
      <c r="B298" s="12" t="inlineStr">
        <is>
          <t>GPSE33</t>
        </is>
      </c>
      <c r="C298" s="12" t="inlineStr">
        <is>
          <t>SLEEPER - TWIN</t>
        </is>
      </c>
      <c r="D298" s="12" t="inlineStr">
        <is>
          <t>Insert Card</t>
        </is>
      </c>
      <c r="E298" s="12" t="inlineStr">
        <is>
          <t>Color paper insert material</t>
        </is>
      </c>
      <c r="F298" s="12" t="inlineStr">
        <is>
          <t>Printed Insert quality -  INSERT (“U” Shape) - Insert Material: 250g-300g White Card Paper with Coating both side</t>
        </is>
      </c>
      <c r="G298" s="12" t="inlineStr"/>
      <c r="H298" s="12" t="inlineStr"/>
      <c r="I298" s="12" t="inlineStr">
        <is>
          <t>Mattress protector</t>
        </is>
      </c>
      <c r="J298" s="20" t="n">
        <v>1</v>
      </c>
      <c r="K298" s="20" t="inlineStr">
        <is>
          <t>pcs</t>
        </is>
      </c>
      <c r="L298" s="19" t="n">
        <v>2</v>
      </c>
      <c r="M298" s="16">
        <f>IFERROR(J298*(1+IFERROR(L298,0)/100)*VLOOKUP(B298,'1. Articles (SKUs)'!F:R,13,FALSE),"")</f>
        <v/>
      </c>
      <c r="N298" s="19" t="inlineStr"/>
    </row>
    <row r="299">
      <c r="A299" s="14" t="inlineStr">
        <is>
          <t>FT9</t>
        </is>
      </c>
      <c r="B299" s="14" t="inlineStr">
        <is>
          <t>GPSE33</t>
        </is>
      </c>
      <c r="C299" s="14" t="inlineStr">
        <is>
          <t>SLEEPER - TWIN</t>
        </is>
      </c>
      <c r="D299" s="14" t="inlineStr">
        <is>
          <t>Stiffener</t>
        </is>
      </c>
      <c r="E299" s="14" t="inlineStr">
        <is>
          <t>Cardboard material(Stiffener)</t>
        </is>
      </c>
      <c r="F299" s="14" t="inlineStr">
        <is>
          <t>Packaging inside need to put a “U”  1 ply thickness(1 layers with 1 layer corrugated ) in White Cardboard to maintain the shape before putting into the box</t>
        </is>
      </c>
      <c r="G299" s="14" t="inlineStr"/>
      <c r="H299" s="14" t="inlineStr"/>
      <c r="I299" s="14" t="inlineStr">
        <is>
          <t>Mattress protector</t>
        </is>
      </c>
      <c r="J299" s="20" t="n">
        <v>1</v>
      </c>
      <c r="K299" s="20" t="inlineStr">
        <is>
          <t>pcs</t>
        </is>
      </c>
      <c r="L299" s="19" t="n">
        <v>2</v>
      </c>
      <c r="M299" s="17">
        <f>IFERROR(J299*(1+IFERROR(L299,0)/100)*VLOOKUP(B299,'1. Articles (SKUs)'!F:R,13,FALSE),"")</f>
        <v/>
      </c>
      <c r="N299" s="19" t="inlineStr"/>
    </row>
    <row r="300">
      <c r="A300" s="12" t="inlineStr">
        <is>
          <t>FT9</t>
        </is>
      </c>
      <c r="B300" s="12" t="inlineStr">
        <is>
          <t>GPSE33</t>
        </is>
      </c>
      <c r="C300" s="12" t="inlineStr">
        <is>
          <t>SLEEPER - TWIN</t>
        </is>
      </c>
      <c r="D300" s="12" t="inlineStr">
        <is>
          <t>Size Sticker</t>
        </is>
      </c>
      <c r="E300" s="12" t="inlineStr">
        <is>
          <t>Size Sticker</t>
        </is>
      </c>
      <c r="F300" s="12" t="inlineStr">
        <is>
          <t>Direct print on insert</t>
        </is>
      </c>
      <c r="G300" s="12" t="inlineStr"/>
      <c r="H300" s="12" t="inlineStr"/>
      <c r="I300" s="12" t="inlineStr">
        <is>
          <t>Mattress protector</t>
        </is>
      </c>
      <c r="J300" s="20" t="n">
        <v>1</v>
      </c>
      <c r="K300" s="20" t="inlineStr">
        <is>
          <t>pcs</t>
        </is>
      </c>
      <c r="L300" s="19" t="n">
        <v>2</v>
      </c>
      <c r="M300" s="16">
        <f>IFERROR(J300*(1+IFERROR(L300,0)/100)*VLOOKUP(B300,'1. Articles (SKUs)'!F:R,13,FALSE),"")</f>
        <v/>
      </c>
      <c r="N300" s="19" t="inlineStr"/>
    </row>
    <row r="301">
      <c r="A301" s="14" t="inlineStr">
        <is>
          <t>FT9</t>
        </is>
      </c>
      <c r="B301" s="14" t="inlineStr">
        <is>
          <t>GPSE33</t>
        </is>
      </c>
      <c r="C301" s="14" t="inlineStr">
        <is>
          <t>SLEEPER - TWIN</t>
        </is>
      </c>
      <c r="D301" s="14" t="inlineStr">
        <is>
          <t>Barcode Sticker</t>
        </is>
      </c>
      <c r="E301" s="14" t="inlineStr">
        <is>
          <t>Barcode sticker</t>
        </is>
      </c>
      <c r="F301" s="14" t="inlineStr">
        <is>
          <t>All barcode (SKU) sticker must be stick on the PVC Bag (CANNOT PUT ON THE INSERT)</t>
        </is>
      </c>
      <c r="G301" s="14" t="inlineStr"/>
      <c r="H301" s="14" t="inlineStr"/>
      <c r="I301" s="14" t="inlineStr">
        <is>
          <t>Mattress protector</t>
        </is>
      </c>
      <c r="J301" s="20" t="n">
        <v>1</v>
      </c>
      <c r="K301" s="20" t="inlineStr">
        <is>
          <t>pcs</t>
        </is>
      </c>
      <c r="L301" s="19" t="n">
        <v>2</v>
      </c>
      <c r="M301" s="17">
        <f>IFERROR(J301*(1+IFERROR(L301,0)/100)*VLOOKUP(B301,'1. Articles (SKUs)'!F:R,13,FALSE),"")</f>
        <v/>
      </c>
      <c r="N301" s="19" t="inlineStr"/>
    </row>
    <row r="302">
      <c r="A302" s="12" t="inlineStr">
        <is>
          <t>FT9</t>
        </is>
      </c>
      <c r="B302" s="12" t="inlineStr">
        <is>
          <t>GPSE33</t>
        </is>
      </c>
      <c r="C302" s="12" t="inlineStr">
        <is>
          <t>SLEEPER - TWIN</t>
        </is>
      </c>
      <c r="D302" s="12" t="inlineStr">
        <is>
          <t>Barcode Sticker Size</t>
        </is>
      </c>
      <c r="E302" s="12" t="inlineStr">
        <is>
          <t>Barcode Sticker /Size</t>
        </is>
      </c>
      <c r="F302" s="12" t="inlineStr">
        <is>
          <t>White ground with black fonts / 76mmx23mm</t>
        </is>
      </c>
      <c r="G302" s="12" t="inlineStr"/>
      <c r="H302" s="12" t="inlineStr"/>
      <c r="I302" s="12" t="inlineStr">
        <is>
          <t>Mattress protector</t>
        </is>
      </c>
      <c r="J302" s="20" t="n">
        <v>1</v>
      </c>
      <c r="K302" s="20" t="inlineStr">
        <is>
          <t>pcs</t>
        </is>
      </c>
      <c r="L302" s="19" t="n">
        <v>2</v>
      </c>
      <c r="M302" s="16">
        <f>IFERROR(J302*(1+IFERROR(L302,0)/100)*VLOOKUP(B302,'1. Articles (SKUs)'!F:R,13,FALSE),"")</f>
        <v/>
      </c>
      <c r="N302" s="19" t="inlineStr"/>
    </row>
    <row r="303">
      <c r="A303" s="14" t="inlineStr">
        <is>
          <t>FT9</t>
        </is>
      </c>
      <c r="B303" s="14" t="inlineStr">
        <is>
          <t>GPSE33</t>
        </is>
      </c>
      <c r="C303" s="14" t="inlineStr">
        <is>
          <t>SLEEPER - TWIN</t>
        </is>
      </c>
      <c r="D303" s="14" t="inlineStr">
        <is>
          <t>Stiffener</t>
        </is>
      </c>
      <c r="E303" s="14" t="inlineStr">
        <is>
          <t>Cardboard</t>
        </is>
      </c>
      <c r="F303" s="14" t="inlineStr">
        <is>
          <t>Packaging inside need to put a “U”  1 ply thickness(1 layers with 1 layer corrugated ) in White Cardboard to maintain the shape before putting into the box</t>
        </is>
      </c>
      <c r="G303" s="14" t="inlineStr"/>
      <c r="H303" s="14" t="inlineStr"/>
      <c r="I303" s="14" t="inlineStr">
        <is>
          <t>Mattress protector</t>
        </is>
      </c>
      <c r="J303" s="20" t="n">
        <v>1</v>
      </c>
      <c r="K303" s="20" t="inlineStr">
        <is>
          <t>pcs</t>
        </is>
      </c>
      <c r="L303" s="19" t="n">
        <v>2</v>
      </c>
      <c r="M303" s="17">
        <f>IFERROR(J303*(1+IFERROR(L303,0)/100)*VLOOKUP(B303,'1. Articles (SKUs)'!F:R,13,FALSE),"")</f>
        <v/>
      </c>
      <c r="N303" s="19" t="inlineStr"/>
    </row>
    <row r="304">
      <c r="A304" s="12" t="inlineStr">
        <is>
          <t>FT9</t>
        </is>
      </c>
      <c r="B304" s="12" t="inlineStr">
        <is>
          <t>GPSE33</t>
        </is>
      </c>
      <c r="C304" s="12" t="inlineStr">
        <is>
          <t>SLEEPER - TWIN</t>
        </is>
      </c>
      <c r="D304" s="12" t="inlineStr">
        <is>
          <t>Stiffener Size</t>
        </is>
      </c>
      <c r="E304" s="12" t="inlineStr">
        <is>
          <t>cardboard size</t>
        </is>
      </c>
      <c r="F304" s="12" t="inlineStr">
        <is>
          <t>Please refer spec sheet</t>
        </is>
      </c>
      <c r="G304" s="12" t="inlineStr"/>
      <c r="H304" s="12" t="inlineStr"/>
      <c r="I304" s="12" t="inlineStr">
        <is>
          <t>Mattress protector</t>
        </is>
      </c>
      <c r="J304" s="20" t="n">
        <v>1</v>
      </c>
      <c r="K304" s="20" t="inlineStr">
        <is>
          <t>pcs</t>
        </is>
      </c>
      <c r="L304" s="19" t="n">
        <v>2</v>
      </c>
      <c r="M304" s="16">
        <f>IFERROR(J304*(1+IFERROR(L304,0)/100)*VLOOKUP(B304,'1. Articles (SKUs)'!F:R,13,FALSE),"")</f>
        <v/>
      </c>
      <c r="N304" s="19" t="inlineStr"/>
    </row>
    <row r="305">
      <c r="A305" s="14" t="inlineStr">
        <is>
          <t>FT9</t>
        </is>
      </c>
      <c r="B305" s="14" t="inlineStr">
        <is>
          <t>GPSE46</t>
        </is>
      </c>
      <c r="C305" s="14" t="inlineStr">
        <is>
          <t>SLEEPER - FULL</t>
        </is>
      </c>
      <c r="D305" s="14" t="inlineStr">
        <is>
          <t>Zipper</t>
        </is>
      </c>
      <c r="E305" s="14" t="inlineStr">
        <is>
          <t>Nylon coil zipper #3</t>
        </is>
      </c>
      <c r="F305" s="14" t="inlineStr">
        <is>
          <t>Nylon</t>
        </is>
      </c>
      <c r="G305" s="14" t="inlineStr">
        <is>
          <t>4.45m per piece</t>
        </is>
      </c>
      <c r="H305" s="14" t="inlineStr">
        <is>
          <t>Around encasement perimeter</t>
        </is>
      </c>
      <c r="I305" s="14" t="inlineStr">
        <is>
          <t>Mattress protector</t>
        </is>
      </c>
      <c r="J305" s="20" t="n">
        <v>4.45</v>
      </c>
      <c r="K305" s="19" t="inlineStr">
        <is>
          <t>meters</t>
        </is>
      </c>
      <c r="L305" s="19" t="n">
        <v>2</v>
      </c>
      <c r="M305" s="17">
        <f>IFERROR(J305*(1+IFERROR(L305,0)/100)*VLOOKUP(B305,'1. Articles (SKUs)'!F:R,13,FALSE),"")</f>
        <v/>
      </c>
      <c r="N305" s="19" t="inlineStr"/>
    </row>
    <row r="306">
      <c r="A306" s="12" t="inlineStr">
        <is>
          <t>FT9</t>
        </is>
      </c>
      <c r="B306" s="12" t="inlineStr">
        <is>
          <t>GPSE46</t>
        </is>
      </c>
      <c r="C306" s="12" t="inlineStr">
        <is>
          <t>SLEEPER - FULL</t>
        </is>
      </c>
      <c r="D306" s="12" t="inlineStr">
        <is>
          <t>Thread</t>
        </is>
      </c>
      <c r="E306" s="12" t="inlineStr">
        <is>
          <t>Polyester sewing thread</t>
        </is>
      </c>
      <c r="F306" s="12" t="inlineStr">
        <is>
          <t>100% polyester spun</t>
        </is>
      </c>
      <c r="G306" s="12" t="inlineStr">
        <is>
          <t>TEX40 or 40/2</t>
        </is>
      </c>
      <c r="H306" s="12" t="inlineStr">
        <is>
          <t>All seams</t>
        </is>
      </c>
      <c r="I306" s="12" t="inlineStr">
        <is>
          <t>Mattress protector</t>
        </is>
      </c>
      <c r="J306" s="18" t="n"/>
      <c r="K306" s="19" t="inlineStr">
        <is>
          <t>meters</t>
        </is>
      </c>
      <c r="L306" s="19" t="n">
        <v>3</v>
      </c>
      <c r="M306" s="16">
        <f>IFERROR(J306*(1+IFERROR(L306,0)/100)*VLOOKUP(B306,'1. Articles (SKUs)'!F:R,13,FALSE),"")</f>
        <v/>
      </c>
      <c r="N306" s="19" t="inlineStr"/>
    </row>
    <row r="307">
      <c r="A307" s="14" t="inlineStr">
        <is>
          <t>FT9</t>
        </is>
      </c>
      <c r="B307" s="14" t="inlineStr">
        <is>
          <t>GPSE46</t>
        </is>
      </c>
      <c r="C307" s="14" t="inlineStr">
        <is>
          <t>SLEEPER - FULL</t>
        </is>
      </c>
      <c r="D307" s="14" t="inlineStr">
        <is>
          <t>Law Tag</t>
        </is>
      </c>
      <c r="E307" s="14" t="inlineStr">
        <is>
          <t>Non woven label with coating</t>
        </is>
      </c>
      <c r="F307" s="14" t="inlineStr">
        <is>
          <t>3M non woven material with white ground / black color font  (INK CANNOT DISCOLORATION AND STAIN ON PRODUCT)</t>
        </is>
      </c>
      <c r="G307" s="14" t="inlineStr">
        <is>
          <t>4.0cmX7.0cm</t>
        </is>
      </c>
      <c r="H307" s="14" t="inlineStr">
        <is>
          <t>Position of Law Tag label – Sewing at the middle of short si</t>
        </is>
      </c>
      <c r="I307" s="14" t="inlineStr">
        <is>
          <t>Law tag/Care label</t>
        </is>
      </c>
      <c r="J307" s="20" t="n">
        <v>1</v>
      </c>
      <c r="K307" s="20" t="inlineStr">
        <is>
          <t>pcs</t>
        </is>
      </c>
      <c r="L307" s="19" t="n">
        <v>2</v>
      </c>
      <c r="M307" s="17">
        <f>IFERROR(J307*(1+IFERROR(L307,0)/100)*VLOOKUP(B307,'1. Articles (SKUs)'!F:R,13,FALSE),"")</f>
        <v/>
      </c>
      <c r="N307" s="19" t="inlineStr"/>
    </row>
    <row r="308">
      <c r="A308" s="12" t="inlineStr">
        <is>
          <t>FT9</t>
        </is>
      </c>
      <c r="B308" s="12" t="inlineStr">
        <is>
          <t>GPSE46</t>
        </is>
      </c>
      <c r="C308" s="12" t="inlineStr">
        <is>
          <t>SLEEPER - FULL</t>
        </is>
      </c>
      <c r="D308" s="12" t="inlineStr">
        <is>
          <t>Size Label</t>
        </is>
      </c>
      <c r="E308" s="12" t="inlineStr">
        <is>
          <t>Non woven label with coating</t>
        </is>
      </c>
      <c r="F308" s="12" t="inlineStr">
        <is>
          <t>3M non woven material with white ground / black color font  (INK CANNOT DISCOLORATION AND STAIN ON PRODUCT)</t>
        </is>
      </c>
      <c r="G308" s="12" t="inlineStr">
        <is>
          <t>4.0cmX3.0cm</t>
        </is>
      </c>
      <c r="H308" s="12" t="inlineStr">
        <is>
          <t>Next the law tag label</t>
        </is>
      </c>
      <c r="I308" s="12" t="inlineStr">
        <is>
          <t>Size label</t>
        </is>
      </c>
      <c r="J308" s="20" t="n">
        <v>1</v>
      </c>
      <c r="K308" s="20" t="inlineStr">
        <is>
          <t>pcs</t>
        </is>
      </c>
      <c r="L308" s="19" t="n">
        <v>2</v>
      </c>
      <c r="M308" s="16">
        <f>IFERROR(J308*(1+IFERROR(L308,0)/100)*VLOOKUP(B308,'1. Articles (SKUs)'!F:R,13,FALSE),"")</f>
        <v/>
      </c>
      <c r="N308" s="19" t="inlineStr"/>
    </row>
    <row r="309">
      <c r="A309" s="14" t="inlineStr">
        <is>
          <t>FT9</t>
        </is>
      </c>
      <c r="B309" s="14" t="inlineStr">
        <is>
          <t>GPSE46</t>
        </is>
      </c>
      <c r="C309" s="14" t="inlineStr">
        <is>
          <t>SLEEPER - FULL</t>
        </is>
      </c>
      <c r="D309" s="14" t="inlineStr">
        <is>
          <t>Packaging</t>
        </is>
      </c>
      <c r="E309" s="14" t="inlineStr">
        <is>
          <t>Packaging type</t>
        </is>
      </c>
      <c r="F309" s="14" t="inlineStr">
        <is>
          <t>Color paper insert with vinyl PVC Bag with white bound seam &amp; inside cardboard wrapped by product(Stiffener)</t>
        </is>
      </c>
      <c r="G309" s="14" t="inlineStr"/>
      <c r="H309" s="14" t="inlineStr"/>
      <c r="I309" s="14" t="inlineStr">
        <is>
          <t>Main</t>
        </is>
      </c>
      <c r="J309" s="20" t="n">
        <v>1</v>
      </c>
      <c r="K309" s="20" t="inlineStr">
        <is>
          <t>pcs</t>
        </is>
      </c>
      <c r="L309" s="19" t="n">
        <v>2</v>
      </c>
      <c r="M309" s="17">
        <f>IFERROR(J309*(1+IFERROR(L309,0)/100)*VLOOKUP(B309,'1. Articles (SKUs)'!F:R,13,FALSE),"")</f>
        <v/>
      </c>
      <c r="N309" s="19" t="inlineStr"/>
    </row>
    <row r="310">
      <c r="A310" s="12" t="inlineStr">
        <is>
          <t>FT9</t>
        </is>
      </c>
      <c r="B310" s="12" t="inlineStr">
        <is>
          <t>GPSE46</t>
        </is>
      </c>
      <c r="C310" s="12" t="inlineStr">
        <is>
          <t>SLEEPER - FULL</t>
        </is>
      </c>
      <c r="D310" s="12" t="inlineStr">
        <is>
          <t>PVC Bag</t>
        </is>
      </c>
      <c r="E310" s="12" t="inlineStr">
        <is>
          <t>Bag material</t>
        </is>
      </c>
      <c r="F310" s="12" t="inlineStr">
        <is>
          <t>12S (Thickness)- Transparent PVC Bag with 7S(Thickness) White PVC White Binding all around seam and 3# Nylon Coil White Zipper(No Hanger Loop on top)</t>
        </is>
      </c>
      <c r="G310" s="12" t="inlineStr"/>
      <c r="H310" s="12" t="inlineStr"/>
      <c r="I310" s="12" t="inlineStr">
        <is>
          <t>Mattress protector</t>
        </is>
      </c>
      <c r="J310" s="20" t="n">
        <v>1</v>
      </c>
      <c r="K310" s="20" t="inlineStr">
        <is>
          <t>pcs</t>
        </is>
      </c>
      <c r="L310" s="19" t="n">
        <v>2</v>
      </c>
      <c r="M310" s="16">
        <f>IFERROR(J310*(1+IFERROR(L310,0)/100)*VLOOKUP(B310,'1. Articles (SKUs)'!F:R,13,FALSE),"")</f>
        <v/>
      </c>
      <c r="N310" s="19" t="inlineStr"/>
    </row>
    <row r="311">
      <c r="A311" s="14" t="inlineStr">
        <is>
          <t>FT9</t>
        </is>
      </c>
      <c r="B311" s="14" t="inlineStr">
        <is>
          <t>GPSE46</t>
        </is>
      </c>
      <c r="C311" s="14" t="inlineStr">
        <is>
          <t>SLEEPER - FULL</t>
        </is>
      </c>
      <c r="D311" s="14" t="inlineStr">
        <is>
          <t>Insert Card</t>
        </is>
      </c>
      <c r="E311" s="14" t="inlineStr">
        <is>
          <t>Color paper insert material</t>
        </is>
      </c>
      <c r="F311" s="14" t="inlineStr">
        <is>
          <t>Printed Insert quality -  INSERT (“U” Shape) - Insert Material: 250g-300g White Card Paper with Coating both side</t>
        </is>
      </c>
      <c r="G311" s="14" t="inlineStr"/>
      <c r="H311" s="14" t="inlineStr"/>
      <c r="I311" s="14" t="inlineStr">
        <is>
          <t>Mattress protector</t>
        </is>
      </c>
      <c r="J311" s="20" t="n">
        <v>1</v>
      </c>
      <c r="K311" s="20" t="inlineStr">
        <is>
          <t>pcs</t>
        </is>
      </c>
      <c r="L311" s="19" t="n">
        <v>2</v>
      </c>
      <c r="M311" s="17">
        <f>IFERROR(J311*(1+IFERROR(L311,0)/100)*VLOOKUP(B311,'1. Articles (SKUs)'!F:R,13,FALSE),"")</f>
        <v/>
      </c>
      <c r="N311" s="19" t="inlineStr"/>
    </row>
    <row r="312">
      <c r="A312" s="12" t="inlineStr">
        <is>
          <t>FT9</t>
        </is>
      </c>
      <c r="B312" s="12" t="inlineStr">
        <is>
          <t>GPSE46</t>
        </is>
      </c>
      <c r="C312" s="12" t="inlineStr">
        <is>
          <t>SLEEPER - FULL</t>
        </is>
      </c>
      <c r="D312" s="12" t="inlineStr">
        <is>
          <t>Stiffener</t>
        </is>
      </c>
      <c r="E312" s="12" t="inlineStr">
        <is>
          <t>Cardboard material(Stiffener)</t>
        </is>
      </c>
      <c r="F312" s="12" t="inlineStr">
        <is>
          <t>Packaging inside need to put a “U”  1 ply thickness(1 layers with 1 layer corrugated ) in White Cardboard to maintain the shape before putting into the box</t>
        </is>
      </c>
      <c r="G312" s="12" t="inlineStr"/>
      <c r="H312" s="12" t="inlineStr"/>
      <c r="I312" s="12" t="inlineStr">
        <is>
          <t>Mattress protector</t>
        </is>
      </c>
      <c r="J312" s="20" t="n">
        <v>1</v>
      </c>
      <c r="K312" s="20" t="inlineStr">
        <is>
          <t>pcs</t>
        </is>
      </c>
      <c r="L312" s="19" t="n">
        <v>2</v>
      </c>
      <c r="M312" s="16">
        <f>IFERROR(J312*(1+IFERROR(L312,0)/100)*VLOOKUP(B312,'1. Articles (SKUs)'!F:R,13,FALSE),"")</f>
        <v/>
      </c>
      <c r="N312" s="19" t="inlineStr"/>
    </row>
    <row r="313">
      <c r="A313" s="14" t="inlineStr">
        <is>
          <t>FT9</t>
        </is>
      </c>
      <c r="B313" s="14" t="inlineStr">
        <is>
          <t>GPSE46</t>
        </is>
      </c>
      <c r="C313" s="14" t="inlineStr">
        <is>
          <t>SLEEPER - FULL</t>
        </is>
      </c>
      <c r="D313" s="14" t="inlineStr">
        <is>
          <t>Size Sticker</t>
        </is>
      </c>
      <c r="E313" s="14" t="inlineStr">
        <is>
          <t>Size Sticker</t>
        </is>
      </c>
      <c r="F313" s="14" t="inlineStr">
        <is>
          <t>Direct print on insert</t>
        </is>
      </c>
      <c r="G313" s="14" t="inlineStr"/>
      <c r="H313" s="14" t="inlineStr"/>
      <c r="I313" s="14" t="inlineStr">
        <is>
          <t>Mattress protector</t>
        </is>
      </c>
      <c r="J313" s="20" t="n">
        <v>1</v>
      </c>
      <c r="K313" s="20" t="inlineStr">
        <is>
          <t>pcs</t>
        </is>
      </c>
      <c r="L313" s="19" t="n">
        <v>2</v>
      </c>
      <c r="M313" s="17">
        <f>IFERROR(J313*(1+IFERROR(L313,0)/100)*VLOOKUP(B313,'1. Articles (SKUs)'!F:R,13,FALSE),"")</f>
        <v/>
      </c>
      <c r="N313" s="19" t="inlineStr"/>
    </row>
    <row r="314">
      <c r="A314" s="12" t="inlineStr">
        <is>
          <t>FT9</t>
        </is>
      </c>
      <c r="B314" s="12" t="inlineStr">
        <is>
          <t>GPSE46</t>
        </is>
      </c>
      <c r="C314" s="12" t="inlineStr">
        <is>
          <t>SLEEPER - FULL</t>
        </is>
      </c>
      <c r="D314" s="12" t="inlineStr">
        <is>
          <t>Barcode Sticker</t>
        </is>
      </c>
      <c r="E314" s="12" t="inlineStr">
        <is>
          <t>Barcode sticker</t>
        </is>
      </c>
      <c r="F314" s="12" t="inlineStr">
        <is>
          <t>All barcode (SKU) sticker must be stick on the PVC Bag (CANNOT PUT ON THE INSERT)</t>
        </is>
      </c>
      <c r="G314" s="12" t="inlineStr"/>
      <c r="H314" s="12" t="inlineStr"/>
      <c r="I314" s="12" t="inlineStr">
        <is>
          <t>Mattress protector</t>
        </is>
      </c>
      <c r="J314" s="20" t="n">
        <v>1</v>
      </c>
      <c r="K314" s="20" t="inlineStr">
        <is>
          <t>pcs</t>
        </is>
      </c>
      <c r="L314" s="19" t="n">
        <v>2</v>
      </c>
      <c r="M314" s="16">
        <f>IFERROR(J314*(1+IFERROR(L314,0)/100)*VLOOKUP(B314,'1. Articles (SKUs)'!F:R,13,FALSE),"")</f>
        <v/>
      </c>
      <c r="N314" s="19" t="inlineStr"/>
    </row>
    <row r="315">
      <c r="A315" s="14" t="inlineStr">
        <is>
          <t>FT9</t>
        </is>
      </c>
      <c r="B315" s="14" t="inlineStr">
        <is>
          <t>GPSE46</t>
        </is>
      </c>
      <c r="C315" s="14" t="inlineStr">
        <is>
          <t>SLEEPER - FULL</t>
        </is>
      </c>
      <c r="D315" s="14" t="inlineStr">
        <is>
          <t>Barcode Sticker Size</t>
        </is>
      </c>
      <c r="E315" s="14" t="inlineStr">
        <is>
          <t>Barcode Sticker /Size</t>
        </is>
      </c>
      <c r="F315" s="14" t="inlineStr">
        <is>
          <t>White ground with black fonts / 76mmx23mm</t>
        </is>
      </c>
      <c r="G315" s="14" t="inlineStr"/>
      <c r="H315" s="14" t="inlineStr"/>
      <c r="I315" s="14" t="inlineStr">
        <is>
          <t>Mattress protector</t>
        </is>
      </c>
      <c r="J315" s="20" t="n">
        <v>1</v>
      </c>
      <c r="K315" s="20" t="inlineStr">
        <is>
          <t>pcs</t>
        </is>
      </c>
      <c r="L315" s="19" t="n">
        <v>2</v>
      </c>
      <c r="M315" s="17">
        <f>IFERROR(J315*(1+IFERROR(L315,0)/100)*VLOOKUP(B315,'1. Articles (SKUs)'!F:R,13,FALSE),"")</f>
        <v/>
      </c>
      <c r="N315" s="19" t="inlineStr"/>
    </row>
    <row r="316">
      <c r="A316" s="12" t="inlineStr">
        <is>
          <t>FT9</t>
        </is>
      </c>
      <c r="B316" s="12" t="inlineStr">
        <is>
          <t>GPSE46</t>
        </is>
      </c>
      <c r="C316" s="12" t="inlineStr">
        <is>
          <t>SLEEPER - FULL</t>
        </is>
      </c>
      <c r="D316" s="12" t="inlineStr">
        <is>
          <t>Stiffener</t>
        </is>
      </c>
      <c r="E316" s="12" t="inlineStr">
        <is>
          <t>Cardboard</t>
        </is>
      </c>
      <c r="F316" s="12" t="inlineStr">
        <is>
          <t>Packaging inside need to put a “U”  1 ply thickness(1 layers with 1 layer corrugated ) in White Cardboard to maintain the shape before putting into the box</t>
        </is>
      </c>
      <c r="G316" s="12" t="inlineStr"/>
      <c r="H316" s="12" t="inlineStr"/>
      <c r="I316" s="12" t="inlineStr">
        <is>
          <t>Mattress protector</t>
        </is>
      </c>
      <c r="J316" s="20" t="n">
        <v>1</v>
      </c>
      <c r="K316" s="20" t="inlineStr">
        <is>
          <t>pcs</t>
        </is>
      </c>
      <c r="L316" s="19" t="n">
        <v>2</v>
      </c>
      <c r="M316" s="16">
        <f>IFERROR(J316*(1+IFERROR(L316,0)/100)*VLOOKUP(B316,'1. Articles (SKUs)'!F:R,13,FALSE),"")</f>
        <v/>
      </c>
      <c r="N316" s="19" t="inlineStr"/>
    </row>
    <row r="317">
      <c r="A317" s="14" t="inlineStr">
        <is>
          <t>FT9</t>
        </is>
      </c>
      <c r="B317" s="14" t="inlineStr">
        <is>
          <t>GPSE46</t>
        </is>
      </c>
      <c r="C317" s="14" t="inlineStr">
        <is>
          <t>SLEEPER - FULL</t>
        </is>
      </c>
      <c r="D317" s="14" t="inlineStr">
        <is>
          <t>Stiffener Size</t>
        </is>
      </c>
      <c r="E317" s="14" t="inlineStr">
        <is>
          <t>cardboard size</t>
        </is>
      </c>
      <c r="F317" s="14" t="inlineStr">
        <is>
          <t>Please refer spec sheet</t>
        </is>
      </c>
      <c r="G317" s="14" t="inlineStr"/>
      <c r="H317" s="14" t="inlineStr"/>
      <c r="I317" s="14" t="inlineStr">
        <is>
          <t>Mattress protector</t>
        </is>
      </c>
      <c r="J317" s="20" t="n">
        <v>1</v>
      </c>
      <c r="K317" s="20" t="inlineStr">
        <is>
          <t>pcs</t>
        </is>
      </c>
      <c r="L317" s="19" t="n">
        <v>2</v>
      </c>
      <c r="M317" s="17">
        <f>IFERROR(J317*(1+IFERROR(L317,0)/100)*VLOOKUP(B317,'1. Articles (SKUs)'!F:R,13,FALSE),"")</f>
        <v/>
      </c>
      <c r="N317" s="19" t="inlineStr"/>
    </row>
    <row r="318">
      <c r="A318" s="12" t="inlineStr">
        <is>
          <t>FT9</t>
        </is>
      </c>
      <c r="B318" s="12" t="inlineStr">
        <is>
          <t>GPSE50</t>
        </is>
      </c>
      <c r="C318" s="12" t="inlineStr">
        <is>
          <t>SLEEPER - QUEEN</t>
        </is>
      </c>
      <c r="D318" s="12" t="inlineStr">
        <is>
          <t>Zipper</t>
        </is>
      </c>
      <c r="E318" s="12" t="inlineStr">
        <is>
          <t>Nylon coil zipper #3</t>
        </is>
      </c>
      <c r="F318" s="12" t="inlineStr">
        <is>
          <t>Nylon</t>
        </is>
      </c>
      <c r="G318" s="12" t="inlineStr">
        <is>
          <t>4.82m per piece</t>
        </is>
      </c>
      <c r="H318" s="12" t="inlineStr">
        <is>
          <t>Around encasement perimeter</t>
        </is>
      </c>
      <c r="I318" s="12" t="inlineStr">
        <is>
          <t>Mattress protector</t>
        </is>
      </c>
      <c r="J318" s="20" t="n">
        <v>4.82</v>
      </c>
      <c r="K318" s="19" t="inlineStr">
        <is>
          <t>meters</t>
        </is>
      </c>
      <c r="L318" s="19" t="n">
        <v>2</v>
      </c>
      <c r="M318" s="16">
        <f>IFERROR(J318*(1+IFERROR(L318,0)/100)*VLOOKUP(B318,'1. Articles (SKUs)'!F:R,13,FALSE),"")</f>
        <v/>
      </c>
      <c r="N318" s="19" t="inlineStr"/>
    </row>
    <row r="319">
      <c r="A319" s="14" t="inlineStr">
        <is>
          <t>FT9</t>
        </is>
      </c>
      <c r="B319" s="14" t="inlineStr">
        <is>
          <t>GPSE50</t>
        </is>
      </c>
      <c r="C319" s="14" t="inlineStr">
        <is>
          <t>SLEEPER - QUEEN</t>
        </is>
      </c>
      <c r="D319" s="14" t="inlineStr">
        <is>
          <t>Thread</t>
        </is>
      </c>
      <c r="E319" s="14" t="inlineStr">
        <is>
          <t>Polyester sewing thread</t>
        </is>
      </c>
      <c r="F319" s="14" t="inlineStr">
        <is>
          <t>100% polyester spun</t>
        </is>
      </c>
      <c r="G319" s="14" t="inlineStr">
        <is>
          <t>TEX40 or 40/2</t>
        </is>
      </c>
      <c r="H319" s="14" t="inlineStr">
        <is>
          <t>All seams</t>
        </is>
      </c>
      <c r="I319" s="14" t="inlineStr">
        <is>
          <t>Mattress protector</t>
        </is>
      </c>
      <c r="J319" s="18" t="n"/>
      <c r="K319" s="19" t="inlineStr">
        <is>
          <t>meters</t>
        </is>
      </c>
      <c r="L319" s="19" t="n">
        <v>3</v>
      </c>
      <c r="M319" s="17">
        <f>IFERROR(J319*(1+IFERROR(L319,0)/100)*VLOOKUP(B319,'1. Articles (SKUs)'!F:R,13,FALSE),"")</f>
        <v/>
      </c>
      <c r="N319" s="19" t="inlineStr"/>
    </row>
    <row r="320">
      <c r="A320" s="12" t="inlineStr">
        <is>
          <t>FT9</t>
        </is>
      </c>
      <c r="B320" s="12" t="inlineStr">
        <is>
          <t>GPSE50</t>
        </is>
      </c>
      <c r="C320" s="12" t="inlineStr">
        <is>
          <t>SLEEPER - QUEEN</t>
        </is>
      </c>
      <c r="D320" s="12" t="inlineStr">
        <is>
          <t>Law Tag</t>
        </is>
      </c>
      <c r="E320" s="12" t="inlineStr">
        <is>
          <t>Non woven label with coating</t>
        </is>
      </c>
      <c r="F320" s="12" t="inlineStr">
        <is>
          <t>3M non woven material with white ground / black color font  (INK CANNOT DISCOLORATION AND STAIN ON PRODUCT)</t>
        </is>
      </c>
      <c r="G320" s="12" t="inlineStr">
        <is>
          <t>4.0cmX7.0cm</t>
        </is>
      </c>
      <c r="H320" s="12" t="inlineStr">
        <is>
          <t>Position of Law Tag label – Sewing at the middle of short si</t>
        </is>
      </c>
      <c r="I320" s="12" t="inlineStr">
        <is>
          <t>Law tag/Care label</t>
        </is>
      </c>
      <c r="J320" s="20" t="n">
        <v>1</v>
      </c>
      <c r="K320" s="20" t="inlineStr">
        <is>
          <t>pcs</t>
        </is>
      </c>
      <c r="L320" s="19" t="n">
        <v>2</v>
      </c>
      <c r="M320" s="16">
        <f>IFERROR(J320*(1+IFERROR(L320,0)/100)*VLOOKUP(B320,'1. Articles (SKUs)'!F:R,13,FALSE),"")</f>
        <v/>
      </c>
      <c r="N320" s="19" t="inlineStr"/>
    </row>
    <row r="321">
      <c r="A321" s="14" t="inlineStr">
        <is>
          <t>FT9</t>
        </is>
      </c>
      <c r="B321" s="14" t="inlineStr">
        <is>
          <t>GPSE50</t>
        </is>
      </c>
      <c r="C321" s="14" t="inlineStr">
        <is>
          <t>SLEEPER - QUEEN</t>
        </is>
      </c>
      <c r="D321" s="14" t="inlineStr">
        <is>
          <t>Size Label</t>
        </is>
      </c>
      <c r="E321" s="14" t="inlineStr">
        <is>
          <t>Non woven label with coating</t>
        </is>
      </c>
      <c r="F321" s="14" t="inlineStr">
        <is>
          <t>3M non woven material with white ground / black color font  (INK CANNOT DISCOLORATION AND STAIN ON PRODUCT)</t>
        </is>
      </c>
      <c r="G321" s="14" t="inlineStr">
        <is>
          <t>4.0cmX3.0cm</t>
        </is>
      </c>
      <c r="H321" s="14" t="inlineStr">
        <is>
          <t>Next the law tag label</t>
        </is>
      </c>
      <c r="I321" s="14" t="inlineStr">
        <is>
          <t>Size label</t>
        </is>
      </c>
      <c r="J321" s="20" t="n">
        <v>1</v>
      </c>
      <c r="K321" s="20" t="inlineStr">
        <is>
          <t>pcs</t>
        </is>
      </c>
      <c r="L321" s="19" t="n">
        <v>2</v>
      </c>
      <c r="M321" s="17">
        <f>IFERROR(J321*(1+IFERROR(L321,0)/100)*VLOOKUP(B321,'1. Articles (SKUs)'!F:R,13,FALSE),"")</f>
        <v/>
      </c>
      <c r="N321" s="19" t="inlineStr"/>
    </row>
    <row r="322">
      <c r="A322" s="12" t="inlineStr">
        <is>
          <t>FT9</t>
        </is>
      </c>
      <c r="B322" s="12" t="inlineStr">
        <is>
          <t>GPSE50</t>
        </is>
      </c>
      <c r="C322" s="12" t="inlineStr">
        <is>
          <t>SLEEPER - QUEEN</t>
        </is>
      </c>
      <c r="D322" s="12" t="inlineStr">
        <is>
          <t>Packaging</t>
        </is>
      </c>
      <c r="E322" s="12" t="inlineStr">
        <is>
          <t>Packaging type</t>
        </is>
      </c>
      <c r="F322" s="12" t="inlineStr">
        <is>
          <t>Color paper insert with vinyl PVC Bag with white bound seam &amp; inside cardboard wrapped by product(Stiffener)</t>
        </is>
      </c>
      <c r="G322" s="12" t="inlineStr"/>
      <c r="H322" s="12" t="inlineStr"/>
      <c r="I322" s="12" t="inlineStr">
        <is>
          <t>Main</t>
        </is>
      </c>
      <c r="J322" s="20" t="n">
        <v>1</v>
      </c>
      <c r="K322" s="20" t="inlineStr">
        <is>
          <t>pcs</t>
        </is>
      </c>
      <c r="L322" s="19" t="n">
        <v>2</v>
      </c>
      <c r="M322" s="16">
        <f>IFERROR(J322*(1+IFERROR(L322,0)/100)*VLOOKUP(B322,'1. Articles (SKUs)'!F:R,13,FALSE),"")</f>
        <v/>
      </c>
      <c r="N322" s="19" t="inlineStr"/>
    </row>
    <row r="323">
      <c r="A323" s="14" t="inlineStr">
        <is>
          <t>FT9</t>
        </is>
      </c>
      <c r="B323" s="14" t="inlineStr">
        <is>
          <t>GPSE50</t>
        </is>
      </c>
      <c r="C323" s="14" t="inlineStr">
        <is>
          <t>SLEEPER - QUEEN</t>
        </is>
      </c>
      <c r="D323" s="14" t="inlineStr">
        <is>
          <t>PVC Bag</t>
        </is>
      </c>
      <c r="E323" s="14" t="inlineStr">
        <is>
          <t>Bag material</t>
        </is>
      </c>
      <c r="F323" s="14" t="inlineStr">
        <is>
          <t>12S (Thickness)- Transparent PVC Bag with 7S(Thickness) White PVC White Binding all around seam and 3# Nylon Coil White Zipper(No Hanger Loop on top)</t>
        </is>
      </c>
      <c r="G323" s="14" t="inlineStr"/>
      <c r="H323" s="14" t="inlineStr"/>
      <c r="I323" s="14" t="inlineStr">
        <is>
          <t>Mattress protector</t>
        </is>
      </c>
      <c r="J323" s="20" t="n">
        <v>1</v>
      </c>
      <c r="K323" s="20" t="inlineStr">
        <is>
          <t>pcs</t>
        </is>
      </c>
      <c r="L323" s="19" t="n">
        <v>2</v>
      </c>
      <c r="M323" s="17">
        <f>IFERROR(J323*(1+IFERROR(L323,0)/100)*VLOOKUP(B323,'1. Articles (SKUs)'!F:R,13,FALSE),"")</f>
        <v/>
      </c>
      <c r="N323" s="19" t="inlineStr"/>
    </row>
    <row r="324">
      <c r="A324" s="12" t="inlineStr">
        <is>
          <t>FT9</t>
        </is>
      </c>
      <c r="B324" s="12" t="inlineStr">
        <is>
          <t>GPSE50</t>
        </is>
      </c>
      <c r="C324" s="12" t="inlineStr">
        <is>
          <t>SLEEPER - QUEEN</t>
        </is>
      </c>
      <c r="D324" s="12" t="inlineStr">
        <is>
          <t>Insert Card</t>
        </is>
      </c>
      <c r="E324" s="12" t="inlineStr">
        <is>
          <t>Color paper insert material</t>
        </is>
      </c>
      <c r="F324" s="12" t="inlineStr">
        <is>
          <t>Printed Insert quality -  INSERT (“U” Shape) - Insert Material: 250g-300g White Card Paper with Coating both side</t>
        </is>
      </c>
      <c r="G324" s="12" t="inlineStr"/>
      <c r="H324" s="12" t="inlineStr"/>
      <c r="I324" s="12" t="inlineStr">
        <is>
          <t>Mattress protector</t>
        </is>
      </c>
      <c r="J324" s="20" t="n">
        <v>1</v>
      </c>
      <c r="K324" s="20" t="inlineStr">
        <is>
          <t>pcs</t>
        </is>
      </c>
      <c r="L324" s="19" t="n">
        <v>2</v>
      </c>
      <c r="M324" s="16">
        <f>IFERROR(J324*(1+IFERROR(L324,0)/100)*VLOOKUP(B324,'1. Articles (SKUs)'!F:R,13,FALSE),"")</f>
        <v/>
      </c>
      <c r="N324" s="19" t="inlineStr"/>
    </row>
    <row r="325">
      <c r="A325" s="14" t="inlineStr">
        <is>
          <t>FT9</t>
        </is>
      </c>
      <c r="B325" s="14" t="inlineStr">
        <is>
          <t>GPSE50</t>
        </is>
      </c>
      <c r="C325" s="14" t="inlineStr">
        <is>
          <t>SLEEPER - QUEEN</t>
        </is>
      </c>
      <c r="D325" s="14" t="inlineStr">
        <is>
          <t>Stiffener</t>
        </is>
      </c>
      <c r="E325" s="14" t="inlineStr">
        <is>
          <t>Cardboard material(Stiffener)</t>
        </is>
      </c>
      <c r="F325" s="14" t="inlineStr">
        <is>
          <t>Packaging inside need to put a “U”  1 ply thickness(1 layers with 1 layer corrugated ) in White Cardboard to maintain the shape before putting into the box</t>
        </is>
      </c>
      <c r="G325" s="14" t="inlineStr"/>
      <c r="H325" s="14" t="inlineStr"/>
      <c r="I325" s="14" t="inlineStr">
        <is>
          <t>Mattress protector</t>
        </is>
      </c>
      <c r="J325" s="20" t="n">
        <v>1</v>
      </c>
      <c r="K325" s="20" t="inlineStr">
        <is>
          <t>pcs</t>
        </is>
      </c>
      <c r="L325" s="19" t="n">
        <v>2</v>
      </c>
      <c r="M325" s="17">
        <f>IFERROR(J325*(1+IFERROR(L325,0)/100)*VLOOKUP(B325,'1. Articles (SKUs)'!F:R,13,FALSE),"")</f>
        <v/>
      </c>
      <c r="N325" s="19" t="inlineStr"/>
    </row>
    <row r="326">
      <c r="A326" s="12" t="inlineStr">
        <is>
          <t>FT9</t>
        </is>
      </c>
      <c r="B326" s="12" t="inlineStr">
        <is>
          <t>GPSE50</t>
        </is>
      </c>
      <c r="C326" s="12" t="inlineStr">
        <is>
          <t>SLEEPER - QUEEN</t>
        </is>
      </c>
      <c r="D326" s="12" t="inlineStr">
        <is>
          <t>Size Sticker</t>
        </is>
      </c>
      <c r="E326" s="12" t="inlineStr">
        <is>
          <t>Size Sticker</t>
        </is>
      </c>
      <c r="F326" s="12" t="inlineStr">
        <is>
          <t>Direct print on insert</t>
        </is>
      </c>
      <c r="G326" s="12" t="inlineStr"/>
      <c r="H326" s="12" t="inlineStr"/>
      <c r="I326" s="12" t="inlineStr">
        <is>
          <t>Mattress protector</t>
        </is>
      </c>
      <c r="J326" s="20" t="n">
        <v>1</v>
      </c>
      <c r="K326" s="20" t="inlineStr">
        <is>
          <t>pcs</t>
        </is>
      </c>
      <c r="L326" s="19" t="n">
        <v>2</v>
      </c>
      <c r="M326" s="16">
        <f>IFERROR(J326*(1+IFERROR(L326,0)/100)*VLOOKUP(B326,'1. Articles (SKUs)'!F:R,13,FALSE),"")</f>
        <v/>
      </c>
      <c r="N326" s="19" t="inlineStr"/>
    </row>
    <row r="327">
      <c r="A327" s="14" t="inlineStr">
        <is>
          <t>FT9</t>
        </is>
      </c>
      <c r="B327" s="14" t="inlineStr">
        <is>
          <t>GPSE50</t>
        </is>
      </c>
      <c r="C327" s="14" t="inlineStr">
        <is>
          <t>SLEEPER - QUEEN</t>
        </is>
      </c>
      <c r="D327" s="14" t="inlineStr">
        <is>
          <t>Barcode Sticker</t>
        </is>
      </c>
      <c r="E327" s="14" t="inlineStr">
        <is>
          <t>Barcode sticker</t>
        </is>
      </c>
      <c r="F327" s="14" t="inlineStr">
        <is>
          <t>All barcode (SKU) sticker must be stick on the PVC Bag (CANNOT PUT ON THE INSERT)</t>
        </is>
      </c>
      <c r="G327" s="14" t="inlineStr"/>
      <c r="H327" s="14" t="inlineStr"/>
      <c r="I327" s="14" t="inlineStr">
        <is>
          <t>Mattress protector</t>
        </is>
      </c>
      <c r="J327" s="20" t="n">
        <v>1</v>
      </c>
      <c r="K327" s="20" t="inlineStr">
        <is>
          <t>pcs</t>
        </is>
      </c>
      <c r="L327" s="19" t="n">
        <v>2</v>
      </c>
      <c r="M327" s="17">
        <f>IFERROR(J327*(1+IFERROR(L327,0)/100)*VLOOKUP(B327,'1. Articles (SKUs)'!F:R,13,FALSE),"")</f>
        <v/>
      </c>
      <c r="N327" s="19" t="inlineStr"/>
    </row>
    <row r="328">
      <c r="A328" s="12" t="inlineStr">
        <is>
          <t>FT9</t>
        </is>
      </c>
      <c r="B328" s="12" t="inlineStr">
        <is>
          <t>GPSE50</t>
        </is>
      </c>
      <c r="C328" s="12" t="inlineStr">
        <is>
          <t>SLEEPER - QUEEN</t>
        </is>
      </c>
      <c r="D328" s="12" t="inlineStr">
        <is>
          <t>Barcode Sticker Size</t>
        </is>
      </c>
      <c r="E328" s="12" t="inlineStr">
        <is>
          <t>Barcode Sticker /Size</t>
        </is>
      </c>
      <c r="F328" s="12" t="inlineStr">
        <is>
          <t>White ground with black fonts / 76mmx23mm</t>
        </is>
      </c>
      <c r="G328" s="12" t="inlineStr"/>
      <c r="H328" s="12" t="inlineStr"/>
      <c r="I328" s="12" t="inlineStr">
        <is>
          <t>Mattress protector</t>
        </is>
      </c>
      <c r="J328" s="20" t="n">
        <v>1</v>
      </c>
      <c r="K328" s="20" t="inlineStr">
        <is>
          <t>pcs</t>
        </is>
      </c>
      <c r="L328" s="19" t="n">
        <v>2</v>
      </c>
      <c r="M328" s="16">
        <f>IFERROR(J328*(1+IFERROR(L328,0)/100)*VLOOKUP(B328,'1. Articles (SKUs)'!F:R,13,FALSE),"")</f>
        <v/>
      </c>
      <c r="N328" s="19" t="inlineStr"/>
    </row>
    <row r="329">
      <c r="A329" s="14" t="inlineStr">
        <is>
          <t>FT9</t>
        </is>
      </c>
      <c r="B329" s="14" t="inlineStr">
        <is>
          <t>GPSE50</t>
        </is>
      </c>
      <c r="C329" s="14" t="inlineStr">
        <is>
          <t>SLEEPER - QUEEN</t>
        </is>
      </c>
      <c r="D329" s="14" t="inlineStr">
        <is>
          <t>Stiffener</t>
        </is>
      </c>
      <c r="E329" s="14" t="inlineStr">
        <is>
          <t>Cardboard</t>
        </is>
      </c>
      <c r="F329" s="14" t="inlineStr">
        <is>
          <t>Packaging inside need to put a “U”  1 ply thickness(1 layers with 1 layer corrugated ) in White Cardboard to maintain the shape before putting into the box</t>
        </is>
      </c>
      <c r="G329" s="14" t="inlineStr"/>
      <c r="H329" s="14" t="inlineStr"/>
      <c r="I329" s="14" t="inlineStr">
        <is>
          <t>Mattress protector</t>
        </is>
      </c>
      <c r="J329" s="20" t="n">
        <v>1</v>
      </c>
      <c r="K329" s="20" t="inlineStr">
        <is>
          <t>pcs</t>
        </is>
      </c>
      <c r="L329" s="19" t="n">
        <v>2</v>
      </c>
      <c r="M329" s="17">
        <f>IFERROR(J329*(1+IFERROR(L329,0)/100)*VLOOKUP(B329,'1. Articles (SKUs)'!F:R,13,FALSE),"")</f>
        <v/>
      </c>
      <c r="N329" s="19" t="inlineStr"/>
    </row>
    <row r="330">
      <c r="A330" s="12" t="inlineStr">
        <is>
          <t>FT9</t>
        </is>
      </c>
      <c r="B330" s="12" t="inlineStr">
        <is>
          <t>GPSE50</t>
        </is>
      </c>
      <c r="C330" s="12" t="inlineStr">
        <is>
          <t>SLEEPER - QUEEN</t>
        </is>
      </c>
      <c r="D330" s="12" t="inlineStr">
        <is>
          <t>Stiffener Size</t>
        </is>
      </c>
      <c r="E330" s="12" t="inlineStr">
        <is>
          <t>cardboard size</t>
        </is>
      </c>
      <c r="F330" s="12" t="inlineStr">
        <is>
          <t>Please refer spec sheet</t>
        </is>
      </c>
      <c r="G330" s="12" t="inlineStr"/>
      <c r="H330" s="12" t="inlineStr"/>
      <c r="I330" s="12" t="inlineStr">
        <is>
          <t>Mattress protector</t>
        </is>
      </c>
      <c r="J330" s="20" t="n">
        <v>1</v>
      </c>
      <c r="K330" s="20" t="inlineStr">
        <is>
          <t>pcs</t>
        </is>
      </c>
      <c r="L330" s="19" t="n">
        <v>2</v>
      </c>
      <c r="M330" s="16">
        <f>IFERROR(J330*(1+IFERROR(L330,0)/100)*VLOOKUP(B330,'1. Articles (SKUs)'!F:R,13,FALSE),"")</f>
        <v/>
      </c>
      <c r="N330" s="19" t="inlineStr"/>
    </row>
    <row r="331">
      <c r="A331" s="14" t="inlineStr">
        <is>
          <t>FT4</t>
        </is>
      </c>
      <c r="B331" s="14" t="inlineStr">
        <is>
          <t>GPPPQ</t>
        </is>
      </c>
      <c r="C331" s="14" t="inlineStr">
        <is>
          <t>QUEEN</t>
        </is>
      </c>
      <c r="D331" s="14" t="inlineStr">
        <is>
          <t>Zipper</t>
        </is>
      </c>
      <c r="E331" s="14" t="inlineStr">
        <is>
          <t>Nylon coil zipper #3</t>
        </is>
      </c>
      <c r="F331" s="14" t="inlineStr">
        <is>
          <t>Nylon</t>
        </is>
      </c>
      <c r="G331" s="14" t="inlineStr">
        <is>
          <t>1.55m</t>
        </is>
      </c>
      <c r="H331" s="14" t="inlineStr">
        <is>
          <t>Pillow opening</t>
        </is>
      </c>
      <c r="I331" s="14" t="inlineStr">
        <is>
          <t>Pillow Protector</t>
        </is>
      </c>
      <c r="J331" s="15" t="n">
        <v>1.55</v>
      </c>
      <c r="K331" s="15" t="inlineStr">
        <is>
          <t>meters</t>
        </is>
      </c>
      <c r="L331" s="14" t="n">
        <v>2</v>
      </c>
      <c r="M331" s="17">
        <f>IFERROR(J331*(1+IFERROR(L331,0)/100)*VLOOKUP(B331,'1. Articles (SKUs)'!F:R,13,FALSE),"")</f>
        <v/>
      </c>
      <c r="N331" s="14" t="inlineStr"/>
    </row>
    <row r="332">
      <c r="A332" s="12" t="inlineStr">
        <is>
          <t>FT4</t>
        </is>
      </c>
      <c r="B332" s="12" t="inlineStr">
        <is>
          <t>GPPPQ</t>
        </is>
      </c>
      <c r="C332" s="12" t="inlineStr">
        <is>
          <t>QUEEN</t>
        </is>
      </c>
      <c r="D332" s="12" t="inlineStr">
        <is>
          <t>Thread</t>
        </is>
      </c>
      <c r="E332" s="12" t="inlineStr">
        <is>
          <t>Polyester sewing thread</t>
        </is>
      </c>
      <c r="F332" s="12" t="inlineStr">
        <is>
          <t>100% polyester spun</t>
        </is>
      </c>
      <c r="G332" s="12" t="inlineStr">
        <is>
          <t>TEX40</t>
        </is>
      </c>
      <c r="H332" s="12" t="inlineStr">
        <is>
          <t>All seams</t>
        </is>
      </c>
      <c r="I332" s="12" t="inlineStr">
        <is>
          <t>Pillow Protector</t>
        </is>
      </c>
      <c r="J332" s="12" t="n"/>
      <c r="K332" s="13" t="inlineStr">
        <is>
          <t>meters</t>
        </is>
      </c>
      <c r="L332" s="12" t="n">
        <v>3</v>
      </c>
      <c r="M332" s="16">
        <f>IFERROR(J332*(1+IFERROR(L332,0)/100)*VLOOKUP(B332,'1. Articles (SKUs)'!F:R,13,FALSE),"")</f>
        <v/>
      </c>
      <c r="N332" s="12" t="inlineStr"/>
    </row>
    <row r="333">
      <c r="A333" s="14" t="inlineStr">
        <is>
          <t>FT4</t>
        </is>
      </c>
      <c r="B333" s="14" t="inlineStr">
        <is>
          <t>GPPPQ</t>
        </is>
      </c>
      <c r="C333" s="14" t="inlineStr">
        <is>
          <t>QUEEN</t>
        </is>
      </c>
      <c r="D333" s="14" t="inlineStr">
        <is>
          <t>Law Tag</t>
        </is>
      </c>
      <c r="E333" s="14" t="inlineStr">
        <is>
          <t>Non woven label with coating</t>
        </is>
      </c>
      <c r="F333" s="14" t="inlineStr">
        <is>
          <t>3M non woven</t>
        </is>
      </c>
      <c r="G333" s="14" t="inlineStr">
        <is>
          <t>4.0cmX7.0cm</t>
        </is>
      </c>
      <c r="H333" s="14" t="inlineStr">
        <is>
          <t>Sewn at seam</t>
        </is>
      </c>
      <c r="I333" s="14" t="inlineStr">
        <is>
          <t>Pillow Protector</t>
        </is>
      </c>
      <c r="J333" s="15" t="n">
        <v>1</v>
      </c>
      <c r="K333" s="15" t="inlineStr">
        <is>
          <t>pcs</t>
        </is>
      </c>
      <c r="L333" s="14" t="n">
        <v>2</v>
      </c>
      <c r="M333" s="17">
        <f>IFERROR(J333*(1+IFERROR(L333,0)/100)*VLOOKUP(B333,'1. Articles (SKUs)'!F:R,13,FALSE),"")</f>
        <v/>
      </c>
      <c r="N333" s="14" t="inlineStr"/>
    </row>
    <row r="334">
      <c r="A334" s="12" t="inlineStr">
        <is>
          <t>FT4</t>
        </is>
      </c>
      <c r="B334" s="12" t="inlineStr">
        <is>
          <t>GPPPQ</t>
        </is>
      </c>
      <c r="C334" s="12" t="inlineStr">
        <is>
          <t>QUEEN</t>
        </is>
      </c>
      <c r="D334" s="12" t="inlineStr">
        <is>
          <t>Size Label</t>
        </is>
      </c>
      <c r="E334" s="12" t="inlineStr">
        <is>
          <t>Non woven label with coating</t>
        </is>
      </c>
      <c r="F334" s="12" t="inlineStr">
        <is>
          <t>3M non woven</t>
        </is>
      </c>
      <c r="G334" s="12" t="inlineStr">
        <is>
          <t>4.0cmX3.0cm</t>
        </is>
      </c>
      <c r="H334" s="12" t="inlineStr">
        <is>
          <t>Next to law tag</t>
        </is>
      </c>
      <c r="I334" s="12" t="inlineStr">
        <is>
          <t>Pillow Protector</t>
        </is>
      </c>
      <c r="J334" s="13" t="n">
        <v>1</v>
      </c>
      <c r="K334" s="13" t="inlineStr">
        <is>
          <t>pcs</t>
        </is>
      </c>
      <c r="L334" s="12" t="n">
        <v>2</v>
      </c>
      <c r="M334" s="16">
        <f>IFERROR(J334*(1+IFERROR(L334,0)/100)*VLOOKUP(B334,'1. Articles (SKUs)'!F:R,13,FALSE),"")</f>
        <v/>
      </c>
      <c r="N334" s="12" t="inlineStr"/>
    </row>
    <row r="335">
      <c r="A335" s="14" t="inlineStr">
        <is>
          <t>FT4</t>
        </is>
      </c>
      <c r="B335" s="14" t="inlineStr">
        <is>
          <t>GPPPQ</t>
        </is>
      </c>
      <c r="C335" s="14" t="inlineStr">
        <is>
          <t>QUEEN</t>
        </is>
      </c>
      <c r="D335" s="14" t="inlineStr">
        <is>
          <t>PVC Bag</t>
        </is>
      </c>
      <c r="E335" s="14" t="inlineStr">
        <is>
          <t>Transparent PVC bag</t>
        </is>
      </c>
      <c r="F335" s="14" t="inlineStr">
        <is>
          <t>0.35mm PVC</t>
        </is>
      </c>
      <c r="G335" s="14" t="inlineStr">
        <is>
          <t>3.5cm H x 11.5cm W</t>
        </is>
      </c>
      <c r="H335" s="14" t="inlineStr">
        <is>
          <t>Outer pack</t>
        </is>
      </c>
      <c r="I335" s="14" t="inlineStr">
        <is>
          <t>Pillow Protector</t>
        </is>
      </c>
      <c r="J335" s="15" t="n">
        <v>1</v>
      </c>
      <c r="K335" s="15" t="inlineStr">
        <is>
          <t>pcs</t>
        </is>
      </c>
      <c r="L335" s="14" t="n">
        <v>2</v>
      </c>
      <c r="M335" s="17">
        <f>IFERROR(J335*(1+IFERROR(L335,0)/100)*VLOOKUP(B335,'1. Articles (SKUs)'!F:R,13,FALSE),"")</f>
        <v/>
      </c>
      <c r="N335" s="14" t="inlineStr"/>
    </row>
    <row r="336">
      <c r="A336" s="12" t="inlineStr">
        <is>
          <t>FT4</t>
        </is>
      </c>
      <c r="B336" s="12" t="inlineStr">
        <is>
          <t>GPPPQ</t>
        </is>
      </c>
      <c r="C336" s="12" t="inlineStr">
        <is>
          <t>QUEEN</t>
        </is>
      </c>
      <c r="D336" s="12" t="inlineStr">
        <is>
          <t>Insert Card</t>
        </is>
      </c>
      <c r="E336" s="12" t="inlineStr">
        <is>
          <t>Printed color paper insert</t>
        </is>
      </c>
      <c r="F336" s="12" t="inlineStr">
        <is>
          <t>C-fold U-shape</t>
        </is>
      </c>
      <c r="G336" s="12" t="inlineStr">
        <is>
          <t>Standard</t>
        </is>
      </c>
      <c r="H336" s="12" t="inlineStr">
        <is>
          <t>Inside PVC bag</t>
        </is>
      </c>
      <c r="I336" s="12" t="inlineStr">
        <is>
          <t>Pillow Protector</t>
        </is>
      </c>
      <c r="J336" s="13" t="n">
        <v>1</v>
      </c>
      <c r="K336" s="13" t="inlineStr">
        <is>
          <t>pcs</t>
        </is>
      </c>
      <c r="L336" s="12" t="n">
        <v>2</v>
      </c>
      <c r="M336" s="16">
        <f>IFERROR(J336*(1+IFERROR(L336,0)/100)*VLOOKUP(B336,'1. Articles (SKUs)'!F:R,13,FALSE),"")</f>
        <v/>
      </c>
      <c r="N336" s="12" t="inlineStr"/>
    </row>
    <row r="337">
      <c r="A337" s="14" t="inlineStr">
        <is>
          <t>FT4</t>
        </is>
      </c>
      <c r="B337" s="14" t="inlineStr">
        <is>
          <t>GPPPQ</t>
        </is>
      </c>
      <c r="C337" s="14" t="inlineStr">
        <is>
          <t>QUEEN</t>
        </is>
      </c>
      <c r="D337" s="14" t="inlineStr">
        <is>
          <t>Stiffener</t>
        </is>
      </c>
      <c r="E337" s="14" t="inlineStr">
        <is>
          <t>U-shape cardboard</t>
        </is>
      </c>
      <c r="F337" s="14" t="inlineStr">
        <is>
          <t>White cardboard</t>
        </is>
      </c>
      <c r="G337" s="14" t="inlineStr">
        <is>
          <t>23cmx28cm</t>
        </is>
      </c>
      <c r="H337" s="14" t="inlineStr">
        <is>
          <t>Inside insert</t>
        </is>
      </c>
      <c r="I337" s="14" t="inlineStr">
        <is>
          <t>Pillow Protector</t>
        </is>
      </c>
      <c r="J337" s="15" t="n">
        <v>1</v>
      </c>
      <c r="K337" s="15" t="inlineStr">
        <is>
          <t>pcs</t>
        </is>
      </c>
      <c r="L337" s="14" t="n">
        <v>2</v>
      </c>
      <c r="M337" s="17">
        <f>IFERROR(J337*(1+IFERROR(L337,0)/100)*VLOOKUP(B337,'1. Articles (SKUs)'!F:R,13,FALSE),"")</f>
        <v/>
      </c>
      <c r="N337" s="14" t="inlineStr"/>
    </row>
    <row r="338">
      <c r="A338" s="12" t="inlineStr">
        <is>
          <t>FT4</t>
        </is>
      </c>
      <c r="B338" s="12" t="inlineStr">
        <is>
          <t>GPPPK</t>
        </is>
      </c>
      <c r="C338" s="12" t="inlineStr">
        <is>
          <t>KING</t>
        </is>
      </c>
      <c r="D338" s="12" t="inlineStr">
        <is>
          <t>Zipper</t>
        </is>
      </c>
      <c r="E338" s="12" t="inlineStr">
        <is>
          <t>Nylon coil zipper #3</t>
        </is>
      </c>
      <c r="F338" s="12" t="inlineStr">
        <is>
          <t>Nylon</t>
        </is>
      </c>
      <c r="G338" s="12" t="inlineStr">
        <is>
          <t>1.75m</t>
        </is>
      </c>
      <c r="H338" s="12" t="inlineStr">
        <is>
          <t>Pillow opening</t>
        </is>
      </c>
      <c r="I338" s="12" t="inlineStr">
        <is>
          <t>Pillow Protector</t>
        </is>
      </c>
      <c r="J338" s="13" t="n">
        <v>1.75</v>
      </c>
      <c r="K338" s="13" t="inlineStr">
        <is>
          <t>meters</t>
        </is>
      </c>
      <c r="L338" s="12" t="n">
        <v>2</v>
      </c>
      <c r="M338" s="16">
        <f>IFERROR(J338*(1+IFERROR(L338,0)/100)*VLOOKUP(B338,'1. Articles (SKUs)'!F:R,13,FALSE),"")</f>
        <v/>
      </c>
      <c r="N338" s="12" t="inlineStr"/>
    </row>
    <row r="339">
      <c r="A339" s="14" t="inlineStr">
        <is>
          <t>FT4</t>
        </is>
      </c>
      <c r="B339" s="14" t="inlineStr">
        <is>
          <t>GPPPK</t>
        </is>
      </c>
      <c r="C339" s="14" t="inlineStr">
        <is>
          <t>KING</t>
        </is>
      </c>
      <c r="D339" s="14" t="inlineStr">
        <is>
          <t>Thread</t>
        </is>
      </c>
      <c r="E339" s="14" t="inlineStr">
        <is>
          <t>Polyester sewing thread</t>
        </is>
      </c>
      <c r="F339" s="14" t="inlineStr">
        <is>
          <t>100% polyester spun</t>
        </is>
      </c>
      <c r="G339" s="14" t="inlineStr">
        <is>
          <t>TEX40</t>
        </is>
      </c>
      <c r="H339" s="14" t="inlineStr">
        <is>
          <t>All seams</t>
        </is>
      </c>
      <c r="I339" s="14" t="inlineStr">
        <is>
          <t>Pillow Protector</t>
        </is>
      </c>
      <c r="J339" s="14" t="n"/>
      <c r="K339" s="15" t="inlineStr">
        <is>
          <t>meters</t>
        </is>
      </c>
      <c r="L339" s="14" t="n">
        <v>3</v>
      </c>
      <c r="M339" s="17">
        <f>IFERROR(J339*(1+IFERROR(L339,0)/100)*VLOOKUP(B339,'1. Articles (SKUs)'!F:R,13,FALSE),"")</f>
        <v/>
      </c>
      <c r="N339" s="14" t="inlineStr"/>
    </row>
    <row r="340">
      <c r="A340" s="12" t="inlineStr">
        <is>
          <t>FT4</t>
        </is>
      </c>
      <c r="B340" s="12" t="inlineStr">
        <is>
          <t>GPPPK</t>
        </is>
      </c>
      <c r="C340" s="12" t="inlineStr">
        <is>
          <t>KING</t>
        </is>
      </c>
      <c r="D340" s="12" t="inlineStr">
        <is>
          <t>Law Tag</t>
        </is>
      </c>
      <c r="E340" s="12" t="inlineStr">
        <is>
          <t>Non woven label with coating</t>
        </is>
      </c>
      <c r="F340" s="12" t="inlineStr">
        <is>
          <t>3M non woven</t>
        </is>
      </c>
      <c r="G340" s="12" t="inlineStr">
        <is>
          <t>4.0cmX7.0cm</t>
        </is>
      </c>
      <c r="H340" s="12" t="inlineStr">
        <is>
          <t>Sewn at seam</t>
        </is>
      </c>
      <c r="I340" s="12" t="inlineStr">
        <is>
          <t>Pillow Protector</t>
        </is>
      </c>
      <c r="J340" s="13" t="n">
        <v>1</v>
      </c>
      <c r="K340" s="13" t="inlineStr">
        <is>
          <t>pcs</t>
        </is>
      </c>
      <c r="L340" s="12" t="n">
        <v>2</v>
      </c>
      <c r="M340" s="16">
        <f>IFERROR(J340*(1+IFERROR(L340,0)/100)*VLOOKUP(B340,'1. Articles (SKUs)'!F:R,13,FALSE),"")</f>
        <v/>
      </c>
      <c r="N340" s="12" t="inlineStr"/>
    </row>
    <row r="341">
      <c r="A341" s="14" t="inlineStr">
        <is>
          <t>FT4</t>
        </is>
      </c>
      <c r="B341" s="14" t="inlineStr">
        <is>
          <t>GPPPK</t>
        </is>
      </c>
      <c r="C341" s="14" t="inlineStr">
        <is>
          <t>KING</t>
        </is>
      </c>
      <c r="D341" s="14" t="inlineStr">
        <is>
          <t>Size Label</t>
        </is>
      </c>
      <c r="E341" s="14" t="inlineStr">
        <is>
          <t>Non woven label with coating</t>
        </is>
      </c>
      <c r="F341" s="14" t="inlineStr">
        <is>
          <t>3M non woven</t>
        </is>
      </c>
      <c r="G341" s="14" t="inlineStr">
        <is>
          <t>4.0cmX3.0cm</t>
        </is>
      </c>
      <c r="H341" s="14" t="inlineStr">
        <is>
          <t>Next to law tag</t>
        </is>
      </c>
      <c r="I341" s="14" t="inlineStr">
        <is>
          <t>Pillow Protector</t>
        </is>
      </c>
      <c r="J341" s="15" t="n">
        <v>1</v>
      </c>
      <c r="K341" s="15" t="inlineStr">
        <is>
          <t>pcs</t>
        </is>
      </c>
      <c r="L341" s="14" t="n">
        <v>2</v>
      </c>
      <c r="M341" s="17">
        <f>IFERROR(J341*(1+IFERROR(L341,0)/100)*VLOOKUP(B341,'1. Articles (SKUs)'!F:R,13,FALSE),"")</f>
        <v/>
      </c>
      <c r="N341" s="14" t="inlineStr"/>
    </row>
    <row r="342">
      <c r="A342" s="12" t="inlineStr">
        <is>
          <t>FT4</t>
        </is>
      </c>
      <c r="B342" s="12" t="inlineStr">
        <is>
          <t>GPPPK</t>
        </is>
      </c>
      <c r="C342" s="12" t="inlineStr">
        <is>
          <t>KING</t>
        </is>
      </c>
      <c r="D342" s="12" t="inlineStr">
        <is>
          <t>PVC Bag</t>
        </is>
      </c>
      <c r="E342" s="12" t="inlineStr">
        <is>
          <t>Transparent PVC bag</t>
        </is>
      </c>
      <c r="F342" s="12" t="inlineStr">
        <is>
          <t>0.35mm PVC</t>
        </is>
      </c>
      <c r="G342" s="12" t="inlineStr">
        <is>
          <t>3.5cm H x 11.5cm W</t>
        </is>
      </c>
      <c r="H342" s="12" t="inlineStr">
        <is>
          <t>Outer pack</t>
        </is>
      </c>
      <c r="I342" s="12" t="inlineStr">
        <is>
          <t>Pillow Protector</t>
        </is>
      </c>
      <c r="J342" s="13" t="n">
        <v>1</v>
      </c>
      <c r="K342" s="13" t="inlineStr">
        <is>
          <t>pcs</t>
        </is>
      </c>
      <c r="L342" s="12" t="n">
        <v>2</v>
      </c>
      <c r="M342" s="16">
        <f>IFERROR(J342*(1+IFERROR(L342,0)/100)*VLOOKUP(B342,'1. Articles (SKUs)'!F:R,13,FALSE),"")</f>
        <v/>
      </c>
      <c r="N342" s="12" t="inlineStr"/>
    </row>
    <row r="343">
      <c r="A343" s="14" t="inlineStr">
        <is>
          <t>FT4</t>
        </is>
      </c>
      <c r="B343" s="14" t="inlineStr">
        <is>
          <t>GPPPK</t>
        </is>
      </c>
      <c r="C343" s="14" t="inlineStr">
        <is>
          <t>KING</t>
        </is>
      </c>
      <c r="D343" s="14" t="inlineStr">
        <is>
          <t>Insert Card</t>
        </is>
      </c>
      <c r="E343" s="14" t="inlineStr">
        <is>
          <t>Printed color paper insert</t>
        </is>
      </c>
      <c r="F343" s="14" t="inlineStr">
        <is>
          <t>C-fold U-shape</t>
        </is>
      </c>
      <c r="G343" s="14" t="inlineStr">
        <is>
          <t>Standard</t>
        </is>
      </c>
      <c r="H343" s="14" t="inlineStr">
        <is>
          <t>Inside PVC bag</t>
        </is>
      </c>
      <c r="I343" s="14" t="inlineStr">
        <is>
          <t>Pillow Protector</t>
        </is>
      </c>
      <c r="J343" s="15" t="n">
        <v>1</v>
      </c>
      <c r="K343" s="15" t="inlineStr">
        <is>
          <t>pcs</t>
        </is>
      </c>
      <c r="L343" s="14" t="n">
        <v>2</v>
      </c>
      <c r="M343" s="17">
        <f>IFERROR(J343*(1+IFERROR(L343,0)/100)*VLOOKUP(B343,'1. Articles (SKUs)'!F:R,13,FALSE),"")</f>
        <v/>
      </c>
      <c r="N343" s="14" t="inlineStr"/>
    </row>
    <row r="344">
      <c r="A344" s="12" t="inlineStr">
        <is>
          <t>FT4</t>
        </is>
      </c>
      <c r="B344" s="12" t="inlineStr">
        <is>
          <t>GPPPK</t>
        </is>
      </c>
      <c r="C344" s="12" t="inlineStr">
        <is>
          <t>KING</t>
        </is>
      </c>
      <c r="D344" s="12" t="inlineStr">
        <is>
          <t>Stiffener</t>
        </is>
      </c>
      <c r="E344" s="12" t="inlineStr">
        <is>
          <t>U-shape cardboard</t>
        </is>
      </c>
      <c r="F344" s="12" t="inlineStr">
        <is>
          <t>White cardboard</t>
        </is>
      </c>
      <c r="G344" s="12" t="inlineStr">
        <is>
          <t>23cmx28cm</t>
        </is>
      </c>
      <c r="H344" s="12" t="inlineStr">
        <is>
          <t>Inside insert</t>
        </is>
      </c>
      <c r="I344" s="12" t="inlineStr">
        <is>
          <t>Pillow Protector</t>
        </is>
      </c>
      <c r="J344" s="13" t="n">
        <v>1</v>
      </c>
      <c r="K344" s="13" t="inlineStr">
        <is>
          <t>pcs</t>
        </is>
      </c>
      <c r="L344" s="12" t="n">
        <v>2</v>
      </c>
      <c r="M344" s="16">
        <f>IFERROR(J344*(1+IFERROR(L344,0)/100)*VLOOKUP(B344,'1. Articles (SKUs)'!F:R,13,FALSE),"")</f>
        <v/>
      </c>
      <c r="N344" s="12" t="inlineStr"/>
    </row>
    <row r="345">
      <c r="A345" s="14" t="inlineStr">
        <is>
          <t>FT2</t>
        </is>
      </c>
      <c r="B345" s="14" t="inlineStr">
        <is>
          <t>GPFRIOPPQ</t>
        </is>
      </c>
      <c r="C345" s="14" t="inlineStr">
        <is>
          <t>QUEEN</t>
        </is>
      </c>
      <c r="D345" s="14" t="inlineStr">
        <is>
          <t>Zipper</t>
        </is>
      </c>
      <c r="E345" s="14" t="inlineStr">
        <is>
          <t>Nylon coil zipper #3</t>
        </is>
      </c>
      <c r="F345" s="14" t="inlineStr">
        <is>
          <t>Nylon</t>
        </is>
      </c>
      <c r="G345" s="14" t="inlineStr">
        <is>
          <t>1.55m</t>
        </is>
      </c>
      <c r="H345" s="14" t="inlineStr">
        <is>
          <t>Pillow opening</t>
        </is>
      </c>
      <c r="I345" s="14" t="inlineStr">
        <is>
          <t>Pillow Protector</t>
        </is>
      </c>
      <c r="J345" s="15" t="n">
        <v>1.55</v>
      </c>
      <c r="K345" s="15" t="inlineStr">
        <is>
          <t>meters</t>
        </is>
      </c>
      <c r="L345" s="14" t="n">
        <v>2</v>
      </c>
      <c r="M345" s="17">
        <f>IFERROR(J345*(1+IFERROR(L345,0)/100)*VLOOKUP(B345,'1. Articles (SKUs)'!F:R,13,FALSE),"")</f>
        <v/>
      </c>
      <c r="N345" s="14" t="inlineStr"/>
    </row>
    <row r="346">
      <c r="A346" s="12" t="inlineStr">
        <is>
          <t>FT2</t>
        </is>
      </c>
      <c r="B346" s="12" t="inlineStr">
        <is>
          <t>GPFRIOPPQ</t>
        </is>
      </c>
      <c r="C346" s="12" t="inlineStr">
        <is>
          <t>QUEEN</t>
        </is>
      </c>
      <c r="D346" s="12" t="inlineStr">
        <is>
          <t>Thread</t>
        </is>
      </c>
      <c r="E346" s="12" t="inlineStr">
        <is>
          <t>Polyester sewing thread</t>
        </is>
      </c>
      <c r="F346" s="12" t="inlineStr">
        <is>
          <t>100% polyester spun</t>
        </is>
      </c>
      <c r="G346" s="12" t="inlineStr">
        <is>
          <t>TEX40</t>
        </is>
      </c>
      <c r="H346" s="12" t="inlineStr">
        <is>
          <t>All seams</t>
        </is>
      </c>
      <c r="I346" s="12" t="inlineStr">
        <is>
          <t>Pillow Protector</t>
        </is>
      </c>
      <c r="J346" s="12" t="n"/>
      <c r="K346" s="13" t="inlineStr">
        <is>
          <t>meters</t>
        </is>
      </c>
      <c r="L346" s="12" t="n">
        <v>3</v>
      </c>
      <c r="M346" s="16">
        <f>IFERROR(J346*(1+IFERROR(L346,0)/100)*VLOOKUP(B346,'1. Articles (SKUs)'!F:R,13,FALSE),"")</f>
        <v/>
      </c>
      <c r="N346" s="12" t="inlineStr"/>
    </row>
    <row r="347">
      <c r="A347" s="14" t="inlineStr">
        <is>
          <t>FT2</t>
        </is>
      </c>
      <c r="B347" s="14" t="inlineStr">
        <is>
          <t>GPFRIOPPQ</t>
        </is>
      </c>
      <c r="C347" s="14" t="inlineStr">
        <is>
          <t>QUEEN</t>
        </is>
      </c>
      <c r="D347" s="14" t="inlineStr">
        <is>
          <t>Law Tag</t>
        </is>
      </c>
      <c r="E347" s="14" t="inlineStr">
        <is>
          <t>Non woven label with coating</t>
        </is>
      </c>
      <c r="F347" s="14" t="inlineStr">
        <is>
          <t>3M non woven</t>
        </is>
      </c>
      <c r="G347" s="14" t="inlineStr">
        <is>
          <t>4.0cmX7.0cm</t>
        </is>
      </c>
      <c r="H347" s="14" t="inlineStr">
        <is>
          <t>Sewn at seam</t>
        </is>
      </c>
      <c r="I347" s="14" t="inlineStr">
        <is>
          <t>Pillow Protector</t>
        </is>
      </c>
      <c r="J347" s="15" t="n">
        <v>1</v>
      </c>
      <c r="K347" s="15" t="inlineStr">
        <is>
          <t>pcs</t>
        </is>
      </c>
      <c r="L347" s="14" t="n">
        <v>2</v>
      </c>
      <c r="M347" s="17">
        <f>IFERROR(J347*(1+IFERROR(L347,0)/100)*VLOOKUP(B347,'1. Articles (SKUs)'!F:R,13,FALSE),"")</f>
        <v/>
      </c>
      <c r="N347" s="14" t="inlineStr"/>
    </row>
    <row r="348">
      <c r="A348" s="12" t="inlineStr">
        <is>
          <t>FT2</t>
        </is>
      </c>
      <c r="B348" s="12" t="inlineStr">
        <is>
          <t>GPFRIOPPQ</t>
        </is>
      </c>
      <c r="C348" s="12" t="inlineStr">
        <is>
          <t>QUEEN</t>
        </is>
      </c>
      <c r="D348" s="12" t="inlineStr">
        <is>
          <t>Size Label</t>
        </is>
      </c>
      <c r="E348" s="12" t="inlineStr">
        <is>
          <t>Non woven label with coating</t>
        </is>
      </c>
      <c r="F348" s="12" t="inlineStr">
        <is>
          <t>3M non woven</t>
        </is>
      </c>
      <c r="G348" s="12" t="inlineStr">
        <is>
          <t>4.0cmX3.0cm</t>
        </is>
      </c>
      <c r="H348" s="12" t="inlineStr">
        <is>
          <t>Next to law tag</t>
        </is>
      </c>
      <c r="I348" s="12" t="inlineStr">
        <is>
          <t>Pillow Protector</t>
        </is>
      </c>
      <c r="J348" s="13" t="n">
        <v>1</v>
      </c>
      <c r="K348" s="13" t="inlineStr">
        <is>
          <t>pcs</t>
        </is>
      </c>
      <c r="L348" s="12" t="n">
        <v>2</v>
      </c>
      <c r="M348" s="16">
        <f>IFERROR(J348*(1+IFERROR(L348,0)/100)*VLOOKUP(B348,'1. Articles (SKUs)'!F:R,13,FALSE),"")</f>
        <v/>
      </c>
      <c r="N348" s="12" t="inlineStr"/>
    </row>
    <row r="349">
      <c r="A349" s="14" t="inlineStr">
        <is>
          <t>FT2</t>
        </is>
      </c>
      <c r="B349" s="14" t="inlineStr">
        <is>
          <t>GPFRIOPPQ</t>
        </is>
      </c>
      <c r="C349" s="14" t="inlineStr">
        <is>
          <t>QUEEN</t>
        </is>
      </c>
      <c r="D349" s="14" t="inlineStr">
        <is>
          <t>PVC Bag</t>
        </is>
      </c>
      <c r="E349" s="14" t="inlineStr">
        <is>
          <t>Transparent PVC bag</t>
        </is>
      </c>
      <c r="F349" s="14" t="inlineStr">
        <is>
          <t>0.35mm PVC</t>
        </is>
      </c>
      <c r="G349" s="14" t="inlineStr">
        <is>
          <t>3.5cm H x 11.5cm W</t>
        </is>
      </c>
      <c r="H349" s="14" t="inlineStr">
        <is>
          <t>Outer pack</t>
        </is>
      </c>
      <c r="I349" s="14" t="inlineStr">
        <is>
          <t>Pillow Protector</t>
        </is>
      </c>
      <c r="J349" s="15" t="n">
        <v>1</v>
      </c>
      <c r="K349" s="15" t="inlineStr">
        <is>
          <t>pcs</t>
        </is>
      </c>
      <c r="L349" s="14" t="n">
        <v>2</v>
      </c>
      <c r="M349" s="17">
        <f>IFERROR(J349*(1+IFERROR(L349,0)/100)*VLOOKUP(B349,'1. Articles (SKUs)'!F:R,13,FALSE),"")</f>
        <v/>
      </c>
      <c r="N349" s="14" t="inlineStr"/>
    </row>
    <row r="350">
      <c r="A350" s="12" t="inlineStr">
        <is>
          <t>FT2</t>
        </is>
      </c>
      <c r="B350" s="12" t="inlineStr">
        <is>
          <t>GPFRIOPPQ</t>
        </is>
      </c>
      <c r="C350" s="12" t="inlineStr">
        <is>
          <t>QUEEN</t>
        </is>
      </c>
      <c r="D350" s="12" t="inlineStr">
        <is>
          <t>Insert Card</t>
        </is>
      </c>
      <c r="E350" s="12" t="inlineStr">
        <is>
          <t>Printed color paper insert</t>
        </is>
      </c>
      <c r="F350" s="12" t="inlineStr">
        <is>
          <t>C-fold U-shape</t>
        </is>
      </c>
      <c r="G350" s="12" t="inlineStr">
        <is>
          <t>Standard</t>
        </is>
      </c>
      <c r="H350" s="12" t="inlineStr">
        <is>
          <t>Inside PVC bag</t>
        </is>
      </c>
      <c r="I350" s="12" t="inlineStr">
        <is>
          <t>Pillow Protector</t>
        </is>
      </c>
      <c r="J350" s="13" t="n">
        <v>1</v>
      </c>
      <c r="K350" s="13" t="inlineStr">
        <is>
          <t>pcs</t>
        </is>
      </c>
      <c r="L350" s="12" t="n">
        <v>2</v>
      </c>
      <c r="M350" s="16">
        <f>IFERROR(J350*(1+IFERROR(L350,0)/100)*VLOOKUP(B350,'1. Articles (SKUs)'!F:R,13,FALSE),"")</f>
        <v/>
      </c>
      <c r="N350" s="12" t="inlineStr"/>
    </row>
    <row r="351">
      <c r="A351" s="14" t="inlineStr">
        <is>
          <t>FT2</t>
        </is>
      </c>
      <c r="B351" s="14" t="inlineStr">
        <is>
          <t>GPFRIOPPQ</t>
        </is>
      </c>
      <c r="C351" s="14" t="inlineStr">
        <is>
          <t>QUEEN</t>
        </is>
      </c>
      <c r="D351" s="14" t="inlineStr">
        <is>
          <t>Stiffener</t>
        </is>
      </c>
      <c r="E351" s="14" t="inlineStr">
        <is>
          <t>U-shape cardboard</t>
        </is>
      </c>
      <c r="F351" s="14" t="inlineStr">
        <is>
          <t>White cardboard</t>
        </is>
      </c>
      <c r="G351" s="14" t="inlineStr">
        <is>
          <t>23cmx28cm</t>
        </is>
      </c>
      <c r="H351" s="14" t="inlineStr">
        <is>
          <t>Inside insert</t>
        </is>
      </c>
      <c r="I351" s="14" t="inlineStr">
        <is>
          <t>Pillow Protector</t>
        </is>
      </c>
      <c r="J351" s="15" t="n">
        <v>1</v>
      </c>
      <c r="K351" s="15" t="inlineStr">
        <is>
          <t>pcs</t>
        </is>
      </c>
      <c r="L351" s="14" t="n">
        <v>2</v>
      </c>
      <c r="M351" s="17">
        <f>IFERROR(J351*(1+IFERROR(L351,0)/100)*VLOOKUP(B351,'1. Articles (SKUs)'!F:R,13,FALSE),"")</f>
        <v/>
      </c>
      <c r="N351" s="14" t="inlineStr"/>
    </row>
    <row r="352">
      <c r="A352" s="12" t="inlineStr">
        <is>
          <t>FT2</t>
        </is>
      </c>
      <c r="B352" s="12" t="inlineStr">
        <is>
          <t>GPFRIOPPK</t>
        </is>
      </c>
      <c r="C352" s="12" t="inlineStr">
        <is>
          <t>KING</t>
        </is>
      </c>
      <c r="D352" s="12" t="inlineStr">
        <is>
          <t>Zipper</t>
        </is>
      </c>
      <c r="E352" s="12" t="inlineStr">
        <is>
          <t>Nylon coil zipper #3</t>
        </is>
      </c>
      <c r="F352" s="12" t="inlineStr">
        <is>
          <t>Nylon</t>
        </is>
      </c>
      <c r="G352" s="12" t="inlineStr">
        <is>
          <t>1.75m</t>
        </is>
      </c>
      <c r="H352" s="12" t="inlineStr">
        <is>
          <t>Pillow opening</t>
        </is>
      </c>
      <c r="I352" s="12" t="inlineStr">
        <is>
          <t>Pillow Protector</t>
        </is>
      </c>
      <c r="J352" s="13" t="n">
        <v>1.75</v>
      </c>
      <c r="K352" s="13" t="inlineStr">
        <is>
          <t>meters</t>
        </is>
      </c>
      <c r="L352" s="12" t="n">
        <v>2</v>
      </c>
      <c r="M352" s="16">
        <f>IFERROR(J352*(1+IFERROR(L352,0)/100)*VLOOKUP(B352,'1. Articles (SKUs)'!F:R,13,FALSE),"")</f>
        <v/>
      </c>
      <c r="N352" s="12" t="inlineStr"/>
    </row>
    <row r="353">
      <c r="A353" s="14" t="inlineStr">
        <is>
          <t>FT2</t>
        </is>
      </c>
      <c r="B353" s="14" t="inlineStr">
        <is>
          <t>GPFRIOPPK</t>
        </is>
      </c>
      <c r="C353" s="14" t="inlineStr">
        <is>
          <t>KING</t>
        </is>
      </c>
      <c r="D353" s="14" t="inlineStr">
        <is>
          <t>Thread</t>
        </is>
      </c>
      <c r="E353" s="14" t="inlineStr">
        <is>
          <t>Polyester sewing thread</t>
        </is>
      </c>
      <c r="F353" s="14" t="inlineStr">
        <is>
          <t>100% polyester spun</t>
        </is>
      </c>
      <c r="G353" s="14" t="inlineStr">
        <is>
          <t>TEX40</t>
        </is>
      </c>
      <c r="H353" s="14" t="inlineStr">
        <is>
          <t>All seams</t>
        </is>
      </c>
      <c r="I353" s="14" t="inlineStr">
        <is>
          <t>Pillow Protector</t>
        </is>
      </c>
      <c r="J353" s="14" t="n"/>
      <c r="K353" s="15" t="inlineStr">
        <is>
          <t>meters</t>
        </is>
      </c>
      <c r="L353" s="14" t="n">
        <v>3</v>
      </c>
      <c r="M353" s="17">
        <f>IFERROR(J353*(1+IFERROR(L353,0)/100)*VLOOKUP(B353,'1. Articles (SKUs)'!F:R,13,FALSE),"")</f>
        <v/>
      </c>
      <c r="N353" s="14" t="inlineStr"/>
    </row>
    <row r="354">
      <c r="A354" s="12" t="inlineStr">
        <is>
          <t>FT2</t>
        </is>
      </c>
      <c r="B354" s="12" t="inlineStr">
        <is>
          <t>GPFRIOPPK</t>
        </is>
      </c>
      <c r="C354" s="12" t="inlineStr">
        <is>
          <t>KING</t>
        </is>
      </c>
      <c r="D354" s="12" t="inlineStr">
        <is>
          <t>Law Tag</t>
        </is>
      </c>
      <c r="E354" s="12" t="inlineStr">
        <is>
          <t>Non woven label with coating</t>
        </is>
      </c>
      <c r="F354" s="12" t="inlineStr">
        <is>
          <t>3M non woven</t>
        </is>
      </c>
      <c r="G354" s="12" t="inlineStr">
        <is>
          <t>4.0cmX7.0cm</t>
        </is>
      </c>
      <c r="H354" s="12" t="inlineStr">
        <is>
          <t>Sewn at seam</t>
        </is>
      </c>
      <c r="I354" s="12" t="inlineStr">
        <is>
          <t>Pillow Protector</t>
        </is>
      </c>
      <c r="J354" s="13" t="n">
        <v>1</v>
      </c>
      <c r="K354" s="13" t="inlineStr">
        <is>
          <t>pcs</t>
        </is>
      </c>
      <c r="L354" s="12" t="n">
        <v>2</v>
      </c>
      <c r="M354" s="16">
        <f>IFERROR(J354*(1+IFERROR(L354,0)/100)*VLOOKUP(B354,'1. Articles (SKUs)'!F:R,13,FALSE),"")</f>
        <v/>
      </c>
      <c r="N354" s="12" t="inlineStr"/>
    </row>
    <row r="355">
      <c r="A355" s="14" t="inlineStr">
        <is>
          <t>FT2</t>
        </is>
      </c>
      <c r="B355" s="14" t="inlineStr">
        <is>
          <t>GPFRIOPPK</t>
        </is>
      </c>
      <c r="C355" s="14" t="inlineStr">
        <is>
          <t>KING</t>
        </is>
      </c>
      <c r="D355" s="14" t="inlineStr">
        <is>
          <t>Size Label</t>
        </is>
      </c>
      <c r="E355" s="14" t="inlineStr">
        <is>
          <t>Non woven label with coating</t>
        </is>
      </c>
      <c r="F355" s="14" t="inlineStr">
        <is>
          <t>3M non woven</t>
        </is>
      </c>
      <c r="G355" s="14" t="inlineStr">
        <is>
          <t>4.0cmX3.0cm</t>
        </is>
      </c>
      <c r="H355" s="14" t="inlineStr">
        <is>
          <t>Next to law tag</t>
        </is>
      </c>
      <c r="I355" s="14" t="inlineStr">
        <is>
          <t>Pillow Protector</t>
        </is>
      </c>
      <c r="J355" s="15" t="n">
        <v>1</v>
      </c>
      <c r="K355" s="15" t="inlineStr">
        <is>
          <t>pcs</t>
        </is>
      </c>
      <c r="L355" s="14" t="n">
        <v>2</v>
      </c>
      <c r="M355" s="17">
        <f>IFERROR(J355*(1+IFERROR(L355,0)/100)*VLOOKUP(B355,'1. Articles (SKUs)'!F:R,13,FALSE),"")</f>
        <v/>
      </c>
      <c r="N355" s="14" t="inlineStr"/>
    </row>
    <row r="356">
      <c r="A356" s="12" t="inlineStr">
        <is>
          <t>FT2</t>
        </is>
      </c>
      <c r="B356" s="12" t="inlineStr">
        <is>
          <t>GPFRIOPPK</t>
        </is>
      </c>
      <c r="C356" s="12" t="inlineStr">
        <is>
          <t>KING</t>
        </is>
      </c>
      <c r="D356" s="12" t="inlineStr">
        <is>
          <t>PVC Bag</t>
        </is>
      </c>
      <c r="E356" s="12" t="inlineStr">
        <is>
          <t>Transparent PVC bag</t>
        </is>
      </c>
      <c r="F356" s="12" t="inlineStr">
        <is>
          <t>0.35mm PVC</t>
        </is>
      </c>
      <c r="G356" s="12" t="inlineStr">
        <is>
          <t>3.5cm H x 11.5cm W</t>
        </is>
      </c>
      <c r="H356" s="12" t="inlineStr">
        <is>
          <t>Outer pack</t>
        </is>
      </c>
      <c r="I356" s="12" t="inlineStr">
        <is>
          <t>Pillow Protector</t>
        </is>
      </c>
      <c r="J356" s="13" t="n">
        <v>1</v>
      </c>
      <c r="K356" s="13" t="inlineStr">
        <is>
          <t>pcs</t>
        </is>
      </c>
      <c r="L356" s="12" t="n">
        <v>2</v>
      </c>
      <c r="M356" s="16">
        <f>IFERROR(J356*(1+IFERROR(L356,0)/100)*VLOOKUP(B356,'1. Articles (SKUs)'!F:R,13,FALSE),"")</f>
        <v/>
      </c>
      <c r="N356" s="12" t="inlineStr"/>
    </row>
    <row r="357">
      <c r="A357" s="14" t="inlineStr">
        <is>
          <t>FT2</t>
        </is>
      </c>
      <c r="B357" s="14" t="inlineStr">
        <is>
          <t>GPFRIOPPK</t>
        </is>
      </c>
      <c r="C357" s="14" t="inlineStr">
        <is>
          <t>KING</t>
        </is>
      </c>
      <c r="D357" s="14" t="inlineStr">
        <is>
          <t>Insert Card</t>
        </is>
      </c>
      <c r="E357" s="14" t="inlineStr">
        <is>
          <t>Printed color paper insert</t>
        </is>
      </c>
      <c r="F357" s="14" t="inlineStr">
        <is>
          <t>C-fold U-shape</t>
        </is>
      </c>
      <c r="G357" s="14" t="inlineStr">
        <is>
          <t>Standard</t>
        </is>
      </c>
      <c r="H357" s="14" t="inlineStr">
        <is>
          <t>Inside PVC bag</t>
        </is>
      </c>
      <c r="I357" s="14" t="inlineStr">
        <is>
          <t>Pillow Protector</t>
        </is>
      </c>
      <c r="J357" s="15" t="n">
        <v>1</v>
      </c>
      <c r="K357" s="15" t="inlineStr">
        <is>
          <t>pcs</t>
        </is>
      </c>
      <c r="L357" s="14" t="n">
        <v>2</v>
      </c>
      <c r="M357" s="17">
        <f>IFERROR(J357*(1+IFERROR(L357,0)/100)*VLOOKUP(B357,'1. Articles (SKUs)'!F:R,13,FALSE),"")</f>
        <v/>
      </c>
      <c r="N357" s="14" t="inlineStr"/>
    </row>
    <row r="358">
      <c r="A358" s="12" t="inlineStr">
        <is>
          <t>FT2</t>
        </is>
      </c>
      <c r="B358" s="12" t="inlineStr">
        <is>
          <t>GPFRIOPPK</t>
        </is>
      </c>
      <c r="C358" s="12" t="inlineStr">
        <is>
          <t>KING</t>
        </is>
      </c>
      <c r="D358" s="12" t="inlineStr">
        <is>
          <t>Stiffener</t>
        </is>
      </c>
      <c r="E358" s="12" t="inlineStr">
        <is>
          <t>U-shape cardboard</t>
        </is>
      </c>
      <c r="F358" s="12" t="inlineStr">
        <is>
          <t>White cardboard</t>
        </is>
      </c>
      <c r="G358" s="12" t="inlineStr">
        <is>
          <t>23cmx28cm</t>
        </is>
      </c>
      <c r="H358" s="12" t="inlineStr">
        <is>
          <t>Inside insert</t>
        </is>
      </c>
      <c r="I358" s="12" t="inlineStr">
        <is>
          <t>Pillow Protector</t>
        </is>
      </c>
      <c r="J358" s="13" t="n">
        <v>1</v>
      </c>
      <c r="K358" s="13" t="inlineStr">
        <is>
          <t>pcs</t>
        </is>
      </c>
      <c r="L358" s="12" t="n">
        <v>2</v>
      </c>
      <c r="M358" s="16">
        <f>IFERROR(J358*(1+IFERROR(L358,0)/100)*VLOOKUP(B358,'1. Articles (SKUs)'!F:R,13,FALSE),"")</f>
        <v/>
      </c>
      <c r="N358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6" customWidth="1" min="5" max="5"/>
    <col width="19" customWidth="1" min="6" max="6"/>
    <col width="18" customWidth="1" min="7" max="7"/>
    <col width="19" customWidth="1" min="8" max="8"/>
    <col width="14" customWidth="1" min="9" max="9"/>
    <col width="23" customWidth="1" min="10" max="10"/>
  </cols>
  <sheetData>
    <row r="1" ht="34" customHeight="1">
      <c r="A1" s="9" t="inlineStr">
        <is>
          <t>tech_pack_code</t>
        </is>
      </c>
      <c r="B1" s="9" t="inlineStr">
        <is>
          <t>size</t>
        </is>
      </c>
      <c r="C1" s="9" t="inlineStr">
        <is>
          <t>item_code</t>
        </is>
      </c>
      <c r="D1" s="9" t="inlineStr">
        <is>
          <t>units_per_carton</t>
        </is>
      </c>
      <c r="E1" s="9" t="inlineStr">
        <is>
          <t>carton_size_cm</t>
        </is>
      </c>
      <c r="F1" s="9" t="inlineStr">
        <is>
          <t>carton_length_cm</t>
        </is>
      </c>
      <c r="G1" s="9" t="inlineStr">
        <is>
          <t>carton_width_cm</t>
        </is>
      </c>
      <c r="H1" s="9" t="inlineStr">
        <is>
          <t>carton_height_cm</t>
        </is>
      </c>
      <c r="I1" s="9" t="inlineStr">
        <is>
          <t>cbm_per_carton</t>
        </is>
      </c>
      <c r="J1" s="11" t="inlineStr">
        <is>
          <t>weight_per_carton_kg</t>
        </is>
      </c>
    </row>
    <row r="2">
      <c r="A2" s="21" t="inlineStr">
        <is>
          <t>FT2</t>
        </is>
      </c>
      <c r="B2" s="21" t="inlineStr">
        <is>
          <t>TWIN</t>
        </is>
      </c>
      <c r="C2" s="21" t="inlineStr">
        <is>
          <t>GPFRIOMP33</t>
        </is>
      </c>
      <c r="D2" s="21" t="n">
        <v>10</v>
      </c>
      <c r="E2" s="21" t="inlineStr">
        <is>
          <t>56.0*29.0*27.0</t>
        </is>
      </c>
      <c r="F2" s="13" t="n">
        <v>56</v>
      </c>
      <c r="G2" s="13" t="n">
        <v>29</v>
      </c>
      <c r="H2" s="13" t="n">
        <v>27</v>
      </c>
      <c r="I2" s="13" t="n">
        <v>0.0438</v>
      </c>
      <c r="J2" s="21" t="n"/>
    </row>
    <row r="3">
      <c r="A3" s="22" t="inlineStr">
        <is>
          <t>FT2</t>
        </is>
      </c>
      <c r="B3" s="22" t="inlineStr">
        <is>
          <t>SP CAL KING</t>
        </is>
      </c>
      <c r="C3" s="22" t="inlineStr">
        <is>
          <t>GPFRIOMP36</t>
        </is>
      </c>
      <c r="D3" s="22" t="n">
        <v>10</v>
      </c>
      <c r="E3" s="22" t="inlineStr">
        <is>
          <t>56.0*29.0*30.0</t>
        </is>
      </c>
      <c r="F3" s="15" t="n">
        <v>56</v>
      </c>
      <c r="G3" s="15" t="n">
        <v>29</v>
      </c>
      <c r="H3" s="15" t="n">
        <v>30</v>
      </c>
      <c r="I3" s="15" t="n">
        <v>0.0487</v>
      </c>
      <c r="J3" s="22" t="n"/>
    </row>
    <row r="4">
      <c r="A4" s="21" t="inlineStr">
        <is>
          <t>FT2</t>
        </is>
      </c>
      <c r="B4" s="21" t="inlineStr">
        <is>
          <t>TWIN XL</t>
        </is>
      </c>
      <c r="C4" s="21" t="inlineStr">
        <is>
          <t>GPFRIOMP38</t>
        </is>
      </c>
      <c r="D4" s="21" t="n">
        <v>10</v>
      </c>
      <c r="E4" s="21" t="inlineStr">
        <is>
          <t>56.0*29.0*27.0</t>
        </is>
      </c>
      <c r="F4" s="13" t="n">
        <v>56</v>
      </c>
      <c r="G4" s="13" t="n">
        <v>29</v>
      </c>
      <c r="H4" s="13" t="n">
        <v>27</v>
      </c>
      <c r="I4" s="13" t="n">
        <v>0.0438</v>
      </c>
      <c r="J4" s="21" t="n"/>
    </row>
    <row r="5">
      <c r="A5" s="22" t="inlineStr">
        <is>
          <t>FT2</t>
        </is>
      </c>
      <c r="B5" s="22" t="inlineStr">
        <is>
          <t>FULL</t>
        </is>
      </c>
      <c r="C5" s="22" t="inlineStr">
        <is>
          <t>GPFRIOMP46</t>
        </is>
      </c>
      <c r="D5" s="22" t="n">
        <v>10</v>
      </c>
      <c r="E5" s="22" t="inlineStr">
        <is>
          <t>56.0*29.0*27.0</t>
        </is>
      </c>
      <c r="F5" s="15" t="n">
        <v>56</v>
      </c>
      <c r="G5" s="15" t="n">
        <v>29</v>
      </c>
      <c r="H5" s="15" t="n">
        <v>27</v>
      </c>
      <c r="I5" s="15" t="n">
        <v>0.0438</v>
      </c>
      <c r="J5" s="22" t="n"/>
    </row>
    <row r="6">
      <c r="A6" s="21" t="inlineStr">
        <is>
          <t>FT2</t>
        </is>
      </c>
      <c r="B6" s="21" t="inlineStr">
        <is>
          <t>QUEEN</t>
        </is>
      </c>
      <c r="C6" s="21" t="inlineStr">
        <is>
          <t>GPFRIOMP50</t>
        </is>
      </c>
      <c r="D6" s="21" t="n">
        <v>10</v>
      </c>
      <c r="E6" s="21" t="inlineStr">
        <is>
          <t>56.0*29.0*32.0</t>
        </is>
      </c>
      <c r="F6" s="13" t="n">
        <v>56</v>
      </c>
      <c r="G6" s="13" t="n">
        <v>29</v>
      </c>
      <c r="H6" s="13" t="n">
        <v>32</v>
      </c>
      <c r="I6" s="13" t="n">
        <v>0.052</v>
      </c>
      <c r="J6" s="21" t="n"/>
    </row>
    <row r="7">
      <c r="A7" s="22" t="inlineStr">
        <is>
          <t>FT2</t>
        </is>
      </c>
      <c r="B7" s="22" t="inlineStr">
        <is>
          <t>SPLIT HEAD QUEEN</t>
        </is>
      </c>
      <c r="C7" s="22" t="inlineStr">
        <is>
          <t>GPFRIOMP52</t>
        </is>
      </c>
      <c r="D7" s="22" t="n">
        <v>10</v>
      </c>
      <c r="E7" s="22" t="inlineStr">
        <is>
          <t>56.0*29.0*32.0</t>
        </is>
      </c>
      <c r="F7" s="15" t="n">
        <v>56</v>
      </c>
      <c r="G7" s="15" t="n">
        <v>29</v>
      </c>
      <c r="H7" s="15" t="n">
        <v>32</v>
      </c>
      <c r="I7" s="15" t="n">
        <v>0.052</v>
      </c>
      <c r="J7" s="22" t="n"/>
    </row>
    <row r="8">
      <c r="A8" s="21" t="inlineStr">
        <is>
          <t>FT2</t>
        </is>
      </c>
      <c r="B8" s="21" t="inlineStr">
        <is>
          <t>CAL KING</t>
        </is>
      </c>
      <c r="C8" s="21" t="inlineStr">
        <is>
          <t>GPFRIOMP72</t>
        </is>
      </c>
      <c r="D8" s="21" t="n">
        <v>8</v>
      </c>
      <c r="E8" s="21" t="inlineStr">
        <is>
          <t>56.0*29.0*30.0</t>
        </is>
      </c>
      <c r="F8" s="13" t="n">
        <v>56</v>
      </c>
      <c r="G8" s="13" t="n">
        <v>29</v>
      </c>
      <c r="H8" s="13" t="n">
        <v>30</v>
      </c>
      <c r="I8" s="13" t="n">
        <v>0.0487</v>
      </c>
      <c r="J8" s="21" t="n"/>
    </row>
    <row r="9">
      <c r="A9" s="22" t="inlineStr">
        <is>
          <t>FT2</t>
        </is>
      </c>
      <c r="B9" s="22" t="inlineStr">
        <is>
          <t>KING</t>
        </is>
      </c>
      <c r="C9" s="22" t="inlineStr">
        <is>
          <t>GPFRIOMP78</t>
        </is>
      </c>
      <c r="D9" s="22" t="n">
        <v>8</v>
      </c>
      <c r="E9" s="22" t="inlineStr">
        <is>
          <t>56.0*29.0*30.0</t>
        </is>
      </c>
      <c r="F9" s="15" t="n">
        <v>56</v>
      </c>
      <c r="G9" s="15" t="n">
        <v>29</v>
      </c>
      <c r="H9" s="15" t="n">
        <v>30</v>
      </c>
      <c r="I9" s="15" t="n">
        <v>0.0487</v>
      </c>
      <c r="J9" s="22" t="n"/>
    </row>
    <row r="10">
      <c r="A10" s="21" t="inlineStr">
        <is>
          <t>FT2</t>
        </is>
      </c>
      <c r="B10" s="21" t="inlineStr">
        <is>
          <t>SPLIT HEAD KING</t>
        </is>
      </c>
      <c r="C10" s="21" t="inlineStr">
        <is>
          <t>GPFRIOMP79</t>
        </is>
      </c>
      <c r="D10" s="21" t="n">
        <v>8</v>
      </c>
      <c r="E10" s="21" t="inlineStr">
        <is>
          <t>56.0*29.0*30.0</t>
        </is>
      </c>
      <c r="F10" s="13" t="n">
        <v>56</v>
      </c>
      <c r="G10" s="13" t="n">
        <v>29</v>
      </c>
      <c r="H10" s="13" t="n">
        <v>30</v>
      </c>
      <c r="I10" s="13" t="n">
        <v>0.0487</v>
      </c>
      <c r="J10" s="21" t="n"/>
    </row>
    <row r="11">
      <c r="A11" s="22" t="inlineStr">
        <is>
          <t>FT2</t>
        </is>
      </c>
      <c r="B11" s="22" t="inlineStr">
        <is>
          <t>FULL XL</t>
        </is>
      </c>
      <c r="C11" s="22" t="inlineStr">
        <is>
          <t>GPFRIOMP80</t>
        </is>
      </c>
      <c r="D11" s="22" t="n">
        <v>10</v>
      </c>
      <c r="E11" s="22" t="inlineStr">
        <is>
          <t>56.0*29.0*27.0</t>
        </is>
      </c>
      <c r="F11" s="15" t="n">
        <v>56</v>
      </c>
      <c r="G11" s="15" t="n">
        <v>29</v>
      </c>
      <c r="H11" s="15" t="n">
        <v>27</v>
      </c>
      <c r="I11" s="15" t="n">
        <v>0.0438</v>
      </c>
      <c r="J11" s="22" t="n"/>
    </row>
    <row r="12">
      <c r="A12" s="21" t="inlineStr">
        <is>
          <t>FT2</t>
        </is>
      </c>
      <c r="B12" s="21" t="inlineStr">
        <is>
          <t>KING</t>
        </is>
      </c>
      <c r="C12" s="21" t="inlineStr">
        <is>
          <t>GPFRIOPPK</t>
        </is>
      </c>
      <c r="D12" s="21" t="n">
        <v>24</v>
      </c>
      <c r="E12" s="21" t="inlineStr">
        <is>
          <t>47.0*28.0*25.0</t>
        </is>
      </c>
      <c r="F12" s="13" t="n">
        <v>47</v>
      </c>
      <c r="G12" s="13" t="n">
        <v>28</v>
      </c>
      <c r="H12" s="13" t="n">
        <v>25</v>
      </c>
      <c r="I12" s="13" t="n">
        <v>0.0329</v>
      </c>
      <c r="J12" s="21" t="n"/>
    </row>
    <row r="13">
      <c r="A13" s="22" t="inlineStr">
        <is>
          <t>FT2</t>
        </is>
      </c>
      <c r="B13" s="22" t="inlineStr">
        <is>
          <t>QUEEN</t>
        </is>
      </c>
      <c r="C13" s="22" t="inlineStr">
        <is>
          <t>GPFRIOPPQ</t>
        </is>
      </c>
      <c r="D13" s="22" t="n">
        <v>24</v>
      </c>
      <c r="E13" s="22" t="inlineStr">
        <is>
          <t>47.0*28.0*25.0</t>
        </is>
      </c>
      <c r="F13" s="15" t="n">
        <v>47</v>
      </c>
      <c r="G13" s="15" t="n">
        <v>28</v>
      </c>
      <c r="H13" s="15" t="n">
        <v>25</v>
      </c>
      <c r="I13" s="15" t="n">
        <v>0.0329</v>
      </c>
      <c r="J13" s="22" t="n"/>
    </row>
    <row r="14">
      <c r="A14" s="21" t="inlineStr">
        <is>
          <t>FT4</t>
        </is>
      </c>
      <c r="B14" s="21" t="inlineStr">
        <is>
          <t>T</t>
        </is>
      </c>
      <c r="C14" s="21" t="inlineStr">
        <is>
          <t>GPMP33</t>
        </is>
      </c>
      <c r="D14" s="21" t="n">
        <v>10</v>
      </c>
      <c r="E14" s="21" t="inlineStr">
        <is>
          <t>58.0*28.0*29.0</t>
        </is>
      </c>
      <c r="F14" s="13" t="n">
        <v>58</v>
      </c>
      <c r="G14" s="13" t="n">
        <v>28</v>
      </c>
      <c r="H14" s="13" t="n">
        <v>29</v>
      </c>
      <c r="I14" s="13" t="n">
        <v>0.0471</v>
      </c>
      <c r="J14" s="21" t="n">
        <v>5.5</v>
      </c>
    </row>
    <row r="15">
      <c r="A15" s="22" t="inlineStr">
        <is>
          <t>FT4</t>
        </is>
      </c>
      <c r="B15" s="22" t="inlineStr">
        <is>
          <t>SCK</t>
        </is>
      </c>
      <c r="C15" s="22" t="inlineStr">
        <is>
          <t>GPMP36</t>
        </is>
      </c>
      <c r="D15" s="22" t="n">
        <v>10</v>
      </c>
      <c r="E15" s="22" t="inlineStr">
        <is>
          <t>58.0*28.0*32.0</t>
        </is>
      </c>
      <c r="F15" s="15" t="n">
        <v>58</v>
      </c>
      <c r="G15" s="15" t="n">
        <v>28</v>
      </c>
      <c r="H15" s="15" t="n">
        <v>32</v>
      </c>
      <c r="I15" s="15" t="n">
        <v>0.052</v>
      </c>
      <c r="J15" s="22" t="n">
        <v>6</v>
      </c>
    </row>
    <row r="16">
      <c r="A16" s="21" t="inlineStr">
        <is>
          <t>FT4</t>
        </is>
      </c>
      <c r="B16" s="21" t="inlineStr">
        <is>
          <t>TXL</t>
        </is>
      </c>
      <c r="C16" s="21" t="inlineStr">
        <is>
          <t>GPMP38</t>
        </is>
      </c>
      <c r="D16" s="21" t="n">
        <v>10</v>
      </c>
      <c r="E16" s="21" t="inlineStr">
        <is>
          <t>58.0*28.0*29.0</t>
        </is>
      </c>
      <c r="F16" s="13" t="n">
        <v>58</v>
      </c>
      <c r="G16" s="13" t="n">
        <v>28</v>
      </c>
      <c r="H16" s="13" t="n">
        <v>29</v>
      </c>
      <c r="I16" s="13" t="n">
        <v>0.0471</v>
      </c>
      <c r="J16" s="21" t="n">
        <v>5.7</v>
      </c>
    </row>
    <row r="17">
      <c r="A17" s="22" t="inlineStr">
        <is>
          <t>FT4</t>
        </is>
      </c>
      <c r="B17" s="22" t="inlineStr">
        <is>
          <t>F</t>
        </is>
      </c>
      <c r="C17" s="22" t="inlineStr">
        <is>
          <t>GPMP46</t>
        </is>
      </c>
      <c r="D17" s="22" t="n">
        <v>10</v>
      </c>
      <c r="E17" s="22" t="inlineStr">
        <is>
          <t>58.0*28.0*35.0</t>
        </is>
      </c>
      <c r="F17" s="15" t="n">
        <v>58</v>
      </c>
      <c r="G17" s="15" t="n">
        <v>28</v>
      </c>
      <c r="H17" s="15" t="n">
        <v>35</v>
      </c>
      <c r="I17" s="15" t="n">
        <v>0.0568</v>
      </c>
      <c r="J17" s="22" t="n">
        <v>6.8</v>
      </c>
    </row>
    <row r="18">
      <c r="A18" s="21" t="inlineStr">
        <is>
          <t>FT4</t>
        </is>
      </c>
      <c r="B18" s="21" t="inlineStr">
        <is>
          <t>Q</t>
        </is>
      </c>
      <c r="C18" s="21" t="inlineStr">
        <is>
          <t>GPMP50</t>
        </is>
      </c>
      <c r="D18" s="21" t="n">
        <v>10</v>
      </c>
      <c r="E18" s="21" t="inlineStr">
        <is>
          <t>58.0*28.0*36.0</t>
        </is>
      </c>
      <c r="F18" s="13" t="n">
        <v>58</v>
      </c>
      <c r="G18" s="13" t="n">
        <v>28</v>
      </c>
      <c r="H18" s="13" t="n">
        <v>36</v>
      </c>
      <c r="I18" s="13" t="n">
        <v>0.0585</v>
      </c>
      <c r="J18" s="21" t="n">
        <v>7.5</v>
      </c>
    </row>
    <row r="19">
      <c r="A19" s="22" t="inlineStr">
        <is>
          <t>FT4</t>
        </is>
      </c>
      <c r="B19" s="22" t="inlineStr">
        <is>
          <t>SHQ</t>
        </is>
      </c>
      <c r="C19" s="22" t="inlineStr">
        <is>
          <t>GPMP52</t>
        </is>
      </c>
      <c r="D19" s="22" t="n">
        <v>10</v>
      </c>
      <c r="E19" s="22" t="inlineStr">
        <is>
          <t>58.0*28.0*36.0</t>
        </is>
      </c>
      <c r="F19" s="15" t="n">
        <v>58</v>
      </c>
      <c r="G19" s="15" t="n">
        <v>28</v>
      </c>
      <c r="H19" s="15" t="n">
        <v>36</v>
      </c>
      <c r="I19" s="15" t="n">
        <v>0.0585</v>
      </c>
      <c r="J19" s="22" t="n">
        <v>7.5</v>
      </c>
    </row>
    <row r="20">
      <c r="A20" s="21" t="inlineStr">
        <is>
          <t>FT4</t>
        </is>
      </c>
      <c r="B20" s="21" t="inlineStr">
        <is>
          <t>CK</t>
        </is>
      </c>
      <c r="C20" s="21" t="inlineStr">
        <is>
          <t>GPMP72</t>
        </is>
      </c>
      <c r="D20" s="21" t="n">
        <v>8</v>
      </c>
      <c r="E20" s="21" t="inlineStr">
        <is>
          <t>58.0*28.0*32.0</t>
        </is>
      </c>
      <c r="F20" s="13" t="n">
        <v>58</v>
      </c>
      <c r="G20" s="13" t="n">
        <v>28</v>
      </c>
      <c r="H20" s="13" t="n">
        <v>32</v>
      </c>
      <c r="I20" s="13" t="n">
        <v>0.052</v>
      </c>
      <c r="J20" s="21" t="n">
        <v>7.3</v>
      </c>
    </row>
    <row r="21">
      <c r="A21" s="22" t="inlineStr">
        <is>
          <t>FT4</t>
        </is>
      </c>
      <c r="B21" s="22" t="inlineStr">
        <is>
          <t>K</t>
        </is>
      </c>
      <c r="C21" s="22" t="inlineStr">
        <is>
          <t>GPMP78</t>
        </is>
      </c>
      <c r="D21" s="22" t="n">
        <v>8</v>
      </c>
      <c r="E21" s="22" t="inlineStr">
        <is>
          <t>58.0*28.0*32.0</t>
        </is>
      </c>
      <c r="F21" s="15" t="n">
        <v>58</v>
      </c>
      <c r="G21" s="15" t="n">
        <v>28</v>
      </c>
      <c r="H21" s="15" t="n">
        <v>32</v>
      </c>
      <c r="I21" s="15" t="n">
        <v>0.052</v>
      </c>
      <c r="J21" s="22" t="n">
        <v>7.3</v>
      </c>
    </row>
    <row r="22">
      <c r="A22" s="21" t="inlineStr">
        <is>
          <t>FT4</t>
        </is>
      </c>
      <c r="B22" s="21" t="inlineStr">
        <is>
          <t>SHK</t>
        </is>
      </c>
      <c r="C22" s="21" t="inlineStr">
        <is>
          <t>GPMP79</t>
        </is>
      </c>
      <c r="D22" s="21" t="n">
        <v>8</v>
      </c>
      <c r="E22" s="21" t="inlineStr">
        <is>
          <t>58.0*28.0*32.0</t>
        </is>
      </c>
      <c r="F22" s="13" t="n">
        <v>58</v>
      </c>
      <c r="G22" s="13" t="n">
        <v>28</v>
      </c>
      <c r="H22" s="13" t="n">
        <v>32</v>
      </c>
      <c r="I22" s="13" t="n">
        <v>0.052</v>
      </c>
      <c r="J22" s="21" t="n">
        <v>7.3</v>
      </c>
    </row>
    <row r="23">
      <c r="A23" s="22" t="inlineStr">
        <is>
          <t>FT4</t>
        </is>
      </c>
      <c r="B23" s="22" t="inlineStr">
        <is>
          <t>FXL</t>
        </is>
      </c>
      <c r="C23" s="22" t="inlineStr">
        <is>
          <t>GPMP80</t>
        </is>
      </c>
      <c r="D23" s="22" t="n">
        <v>10</v>
      </c>
      <c r="E23" s="22" t="inlineStr">
        <is>
          <t>58.0*28.0*35.0</t>
        </is>
      </c>
      <c r="F23" s="15" t="n">
        <v>58</v>
      </c>
      <c r="G23" s="15" t="n">
        <v>28</v>
      </c>
      <c r="H23" s="15" t="n">
        <v>35</v>
      </c>
      <c r="I23" s="15" t="n">
        <v>0.0568</v>
      </c>
      <c r="J23" s="22" t="n">
        <v>7</v>
      </c>
    </row>
    <row r="24">
      <c r="A24" s="21" t="inlineStr">
        <is>
          <t>FT4</t>
        </is>
      </c>
      <c r="B24" s="21" t="inlineStr">
        <is>
          <t>KING</t>
        </is>
      </c>
      <c r="C24" s="21" t="inlineStr">
        <is>
          <t>GPPPK</t>
        </is>
      </c>
      <c r="D24" s="21" t="n">
        <v>24</v>
      </c>
      <c r="E24" s="21" t="inlineStr">
        <is>
          <t>47.0*28.0*25.0</t>
        </is>
      </c>
      <c r="F24" s="13" t="n">
        <v>47</v>
      </c>
      <c r="G24" s="13" t="n">
        <v>28</v>
      </c>
      <c r="H24" s="13" t="n">
        <v>25</v>
      </c>
      <c r="I24" s="13" t="n">
        <v>0.0329</v>
      </c>
      <c r="J24" s="21" t="n"/>
    </row>
    <row r="25">
      <c r="A25" s="22" t="inlineStr">
        <is>
          <t>FT4</t>
        </is>
      </c>
      <c r="B25" s="22" t="inlineStr">
        <is>
          <t>QUEEN</t>
        </is>
      </c>
      <c r="C25" s="22" t="inlineStr">
        <is>
          <t>GPPPQ</t>
        </is>
      </c>
      <c r="D25" s="22" t="n">
        <v>24</v>
      </c>
      <c r="E25" s="22" t="inlineStr">
        <is>
          <t>47.0*28.0*25.0</t>
        </is>
      </c>
      <c r="F25" s="15" t="n">
        <v>47</v>
      </c>
      <c r="G25" s="15" t="n">
        <v>28</v>
      </c>
      <c r="H25" s="15" t="n">
        <v>25</v>
      </c>
      <c r="I25" s="15" t="n">
        <v>0.0329</v>
      </c>
      <c r="J25" s="22" t="n"/>
    </row>
    <row r="26">
      <c r="A26" s="21" t="inlineStr">
        <is>
          <t>FT4</t>
        </is>
      </c>
      <c r="B26" s="21" t="inlineStr">
        <is>
          <t>PPS</t>
        </is>
      </c>
      <c r="C26" s="21" t="inlineStr">
        <is>
          <t>GPPPS</t>
        </is>
      </c>
      <c r="D26" s="21" t="n">
        <v>24</v>
      </c>
      <c r="E26" s="21" t="inlineStr">
        <is>
          <t>25.0*23.0*33.0</t>
        </is>
      </c>
      <c r="F26" s="13" t="n">
        <v>25</v>
      </c>
      <c r="G26" s="13" t="n">
        <v>23</v>
      </c>
      <c r="H26" s="13" t="n">
        <v>33</v>
      </c>
      <c r="I26" s="13" t="n">
        <v>0.019</v>
      </c>
      <c r="J26" s="21" t="n">
        <v>4.3</v>
      </c>
    </row>
    <row r="27">
      <c r="A27" s="22" t="inlineStr">
        <is>
          <t>FT9</t>
        </is>
      </c>
      <c r="B27" s="22" t="inlineStr">
        <is>
          <t>Twin Sleeper</t>
        </is>
      </c>
      <c r="C27" s="22" t="inlineStr">
        <is>
          <t>GPSE33</t>
        </is>
      </c>
      <c r="D27" s="22" t="n">
        <v>10</v>
      </c>
      <c r="E27" s="22" t="inlineStr">
        <is>
          <t>58.0*28.5*30.0</t>
        </is>
      </c>
      <c r="F27" s="15" t="n">
        <v>58</v>
      </c>
      <c r="G27" s="15" t="n">
        <v>28.5</v>
      </c>
      <c r="H27" s="15" t="n">
        <v>30</v>
      </c>
      <c r="I27" s="15" t="n">
        <v>0.0496</v>
      </c>
      <c r="J27" s="22" t="n"/>
    </row>
    <row r="28">
      <c r="A28" s="21" t="inlineStr">
        <is>
          <t>FT9</t>
        </is>
      </c>
      <c r="B28" s="21" t="inlineStr">
        <is>
          <t>Full Sleeper</t>
        </is>
      </c>
      <c r="C28" s="21" t="inlineStr">
        <is>
          <t>GPSE46</t>
        </is>
      </c>
      <c r="D28" s="21" t="n">
        <v>10</v>
      </c>
      <c r="E28" s="21" t="inlineStr">
        <is>
          <t>58.0*28.5*38.0</t>
        </is>
      </c>
      <c r="F28" s="13" t="n">
        <v>58</v>
      </c>
      <c r="G28" s="13" t="n">
        <v>28.5</v>
      </c>
      <c r="H28" s="13" t="n">
        <v>38</v>
      </c>
      <c r="I28" s="13" t="n">
        <v>0.06279999999999999</v>
      </c>
      <c r="J28" s="21" t="n">
        <v>9.199999999999999</v>
      </c>
    </row>
    <row r="29">
      <c r="A29" s="22" t="inlineStr">
        <is>
          <t>FT9</t>
        </is>
      </c>
      <c r="B29" s="22" t="inlineStr">
        <is>
          <t>Queen Sleeper</t>
        </is>
      </c>
      <c r="C29" s="22" t="inlineStr">
        <is>
          <t>GPSE50</t>
        </is>
      </c>
      <c r="D29" s="22" t="n">
        <v>10</v>
      </c>
      <c r="E29" s="22" t="inlineStr">
        <is>
          <t>58.0*28.5*38.0</t>
        </is>
      </c>
      <c r="F29" s="15" t="n">
        <v>58</v>
      </c>
      <c r="G29" s="15" t="n">
        <v>28.5</v>
      </c>
      <c r="H29" s="15" t="n">
        <v>38</v>
      </c>
      <c r="I29" s="15" t="n">
        <v>0.06279999999999999</v>
      </c>
      <c r="J29" s="22" t="n">
        <v>10</v>
      </c>
    </row>
    <row r="30">
      <c r="A30" s="21" t="inlineStr">
        <is>
          <t>FT9</t>
        </is>
      </c>
      <c r="B30" s="21" t="inlineStr">
        <is>
          <t>T</t>
        </is>
      </c>
      <c r="C30" s="21" t="inlineStr">
        <is>
          <t>GPTE33</t>
        </is>
      </c>
      <c r="D30" s="21" t="n">
        <v>10</v>
      </c>
      <c r="E30" s="21" t="inlineStr">
        <is>
          <t>58.0*28.5*34.0</t>
        </is>
      </c>
      <c r="F30" s="13" t="n">
        <v>58</v>
      </c>
      <c r="G30" s="13" t="n">
        <v>28.5</v>
      </c>
      <c r="H30" s="13" t="n">
        <v>34</v>
      </c>
      <c r="I30" s="13" t="n">
        <v>0.0562</v>
      </c>
      <c r="J30" s="21" t="n">
        <v>8</v>
      </c>
    </row>
    <row r="31">
      <c r="A31" s="22" t="inlineStr">
        <is>
          <t>FT9</t>
        </is>
      </c>
      <c r="B31" s="22" t="inlineStr">
        <is>
          <t>SCK</t>
        </is>
      </c>
      <c r="C31" s="22" t="inlineStr">
        <is>
          <t>GPTE36</t>
        </is>
      </c>
      <c r="D31" s="22" t="n">
        <v>10</v>
      </c>
      <c r="E31" s="22" t="inlineStr">
        <is>
          <t>58.0*28.5*34.0</t>
        </is>
      </c>
      <c r="F31" s="15" t="n">
        <v>58</v>
      </c>
      <c r="G31" s="15" t="n">
        <v>28.5</v>
      </c>
      <c r="H31" s="15" t="n">
        <v>34</v>
      </c>
      <c r="I31" s="15" t="n">
        <v>0.0562</v>
      </c>
      <c r="J31" s="22" t="n">
        <v>8.5</v>
      </c>
    </row>
    <row r="32">
      <c r="A32" s="21" t="inlineStr">
        <is>
          <t>FT9</t>
        </is>
      </c>
      <c r="B32" s="21" t="inlineStr">
        <is>
          <t>TXL</t>
        </is>
      </c>
      <c r="C32" s="21" t="inlineStr">
        <is>
          <t>GPTE38</t>
        </is>
      </c>
      <c r="D32" s="21" t="n">
        <v>10</v>
      </c>
      <c r="E32" s="21" t="inlineStr">
        <is>
          <t>58.0*28.5*34.0</t>
        </is>
      </c>
      <c r="F32" s="13" t="n">
        <v>58</v>
      </c>
      <c r="G32" s="13" t="n">
        <v>28.5</v>
      </c>
      <c r="H32" s="13" t="n">
        <v>34</v>
      </c>
      <c r="I32" s="13" t="n">
        <v>0.0562</v>
      </c>
      <c r="J32" s="21" t="n">
        <v>8.300000000000001</v>
      </c>
    </row>
    <row r="33">
      <c r="A33" s="22" t="inlineStr">
        <is>
          <t>FT9</t>
        </is>
      </c>
      <c r="B33" s="22" t="inlineStr">
        <is>
          <t>F</t>
        </is>
      </c>
      <c r="C33" s="22" t="inlineStr">
        <is>
          <t>GPTE46</t>
        </is>
      </c>
      <c r="D33" s="22" t="n">
        <v>10</v>
      </c>
      <c r="E33" s="22" t="inlineStr">
        <is>
          <t>58.0*28.5*44.0</t>
        </is>
      </c>
      <c r="F33" s="15" t="n">
        <v>58</v>
      </c>
      <c r="G33" s="15" t="n">
        <v>28.5</v>
      </c>
      <c r="H33" s="15" t="n">
        <v>44</v>
      </c>
      <c r="I33" s="15" t="n">
        <v>0.0727</v>
      </c>
      <c r="J33" s="22" t="n">
        <v>9.699999999999999</v>
      </c>
    </row>
    <row r="34">
      <c r="A34" s="21" t="inlineStr">
        <is>
          <t>FT9</t>
        </is>
      </c>
      <c r="B34" s="21" t="inlineStr">
        <is>
          <t>Q</t>
        </is>
      </c>
      <c r="C34" s="21" t="inlineStr">
        <is>
          <t>GPTE50</t>
        </is>
      </c>
      <c r="D34" s="21" t="n">
        <v>10</v>
      </c>
      <c r="E34" s="21" t="inlineStr">
        <is>
          <t>58.0*28.5*49.0</t>
        </is>
      </c>
      <c r="F34" s="13" t="n">
        <v>58</v>
      </c>
      <c r="G34" s="13" t="n">
        <v>28.5</v>
      </c>
      <c r="H34" s="13" t="n">
        <v>49</v>
      </c>
      <c r="I34" s="13" t="n">
        <v>0.081</v>
      </c>
      <c r="J34" s="21" t="n">
        <v>10.5</v>
      </c>
    </row>
    <row r="35">
      <c r="A35" s="22" t="inlineStr">
        <is>
          <t>FT9</t>
        </is>
      </c>
      <c r="B35" s="22" t="inlineStr">
        <is>
          <t>Split Head Queen</t>
        </is>
      </c>
      <c r="C35" s="22" t="inlineStr">
        <is>
          <t>GPTE52</t>
        </is>
      </c>
      <c r="D35" s="22" t="n">
        <v>10</v>
      </c>
      <c r="E35" s="22" t="inlineStr">
        <is>
          <t>58.0*28.5*49.0</t>
        </is>
      </c>
      <c r="F35" s="15" t="n">
        <v>58</v>
      </c>
      <c r="G35" s="15" t="n">
        <v>28.5</v>
      </c>
      <c r="H35" s="15" t="n">
        <v>49</v>
      </c>
      <c r="I35" s="15" t="n">
        <v>0.081</v>
      </c>
      <c r="J35" s="22" t="n">
        <v>10.5</v>
      </c>
    </row>
    <row r="36">
      <c r="A36" s="21" t="inlineStr">
        <is>
          <t>FT9</t>
        </is>
      </c>
      <c r="B36" s="21" t="inlineStr">
        <is>
          <t>CK</t>
        </is>
      </c>
      <c r="C36" s="21" t="inlineStr">
        <is>
          <t>GPTE72</t>
        </is>
      </c>
      <c r="D36" s="21" t="n">
        <v>8</v>
      </c>
      <c r="E36" s="21" t="inlineStr">
        <is>
          <t>58.0*28.5*43.0</t>
        </is>
      </c>
      <c r="F36" s="13" t="n">
        <v>58</v>
      </c>
      <c r="G36" s="13" t="n">
        <v>28.5</v>
      </c>
      <c r="H36" s="13" t="n">
        <v>43</v>
      </c>
      <c r="I36" s="13" t="n">
        <v>0.0711</v>
      </c>
      <c r="J36" s="21" t="n">
        <v>11.1</v>
      </c>
    </row>
    <row r="37">
      <c r="A37" s="22" t="inlineStr">
        <is>
          <t>FT9</t>
        </is>
      </c>
      <c r="B37" s="22" t="inlineStr">
        <is>
          <t>K</t>
        </is>
      </c>
      <c r="C37" s="22" t="inlineStr">
        <is>
          <t>GPTE78</t>
        </is>
      </c>
      <c r="D37" s="22" t="n">
        <v>8</v>
      </c>
      <c r="E37" s="22" t="inlineStr">
        <is>
          <t>58.0*28.5*43.0</t>
        </is>
      </c>
      <c r="F37" s="15" t="n">
        <v>58</v>
      </c>
      <c r="G37" s="15" t="n">
        <v>28.5</v>
      </c>
      <c r="H37" s="15" t="n">
        <v>43</v>
      </c>
      <c r="I37" s="15" t="n">
        <v>0.0711</v>
      </c>
      <c r="J37" s="22" t="n">
        <v>11.1</v>
      </c>
    </row>
    <row r="38">
      <c r="A38" s="21" t="inlineStr">
        <is>
          <t>FT9</t>
        </is>
      </c>
      <c r="B38" s="21" t="inlineStr">
        <is>
          <t>Split Head King</t>
        </is>
      </c>
      <c r="C38" s="21" t="inlineStr">
        <is>
          <t>GPTE79</t>
        </is>
      </c>
      <c r="D38" s="21" t="n">
        <v>8</v>
      </c>
      <c r="E38" s="21" t="inlineStr">
        <is>
          <t>58.0*28.5*43.0</t>
        </is>
      </c>
      <c r="F38" s="13" t="n">
        <v>58</v>
      </c>
      <c r="G38" s="13" t="n">
        <v>28.5</v>
      </c>
      <c r="H38" s="13" t="n">
        <v>43</v>
      </c>
      <c r="I38" s="13" t="n">
        <v>0.0711</v>
      </c>
      <c r="J38" s="21" t="n">
        <v>11.1</v>
      </c>
    </row>
    <row r="39">
      <c r="A39" s="14" t="inlineStr">
        <is>
          <t>FT9</t>
        </is>
      </c>
      <c r="B39" s="14" t="inlineStr">
        <is>
          <t>FXL</t>
        </is>
      </c>
      <c r="C39" s="14" t="inlineStr">
        <is>
          <t>GPTE80</t>
        </is>
      </c>
      <c r="D39" s="14" t="n">
        <v>10</v>
      </c>
      <c r="E39" s="14" t="inlineStr">
        <is>
          <t>58.0*28.5*44.0</t>
        </is>
      </c>
      <c r="F39" s="15" t="n">
        <v>58</v>
      </c>
      <c r="G39" s="15" t="n">
        <v>28.5</v>
      </c>
      <c r="H39" s="15" t="n">
        <v>44</v>
      </c>
      <c r="I39" s="15" t="n">
        <v>0.0727</v>
      </c>
      <c r="J39" s="1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19" customWidth="1" min="8" max="8"/>
    <col width="18" customWidth="1" min="9" max="9"/>
    <col width="19" customWidth="1" min="10" max="10"/>
    <col width="14" customWidth="1" min="11" max="11"/>
    <col width="12" customWidth="1" min="12" max="12"/>
    <col width="12" customWidth="1" min="13" max="13"/>
  </cols>
  <sheetData>
    <row r="1" ht="34" customHeight="1">
      <c r="A1" s="9" t="inlineStr">
        <is>
          <t>item_code</t>
        </is>
      </c>
      <c r="B1" s="9" t="inlineStr">
        <is>
          <t>item_description</t>
        </is>
      </c>
      <c r="C1" s="10" t="inlineStr">
        <is>
          <t>price_usd</t>
        </is>
      </c>
      <c r="D1" s="9" t="inlineStr">
        <is>
          <t>currency</t>
        </is>
      </c>
      <c r="E1" s="10" t="inlineStr">
        <is>
          <t>effective_from</t>
        </is>
      </c>
      <c r="F1" s="11" t="inlineStr">
        <is>
          <t>effective_to</t>
        </is>
      </c>
      <c r="G1" s="9" t="inlineStr">
        <is>
          <t>pieces_per_carton</t>
        </is>
      </c>
      <c r="H1" s="9" t="inlineStr">
        <is>
          <t>carton_length_cm</t>
        </is>
      </c>
      <c r="I1" s="9" t="inlineStr">
        <is>
          <t>carton_width_cm</t>
        </is>
      </c>
      <c r="J1" s="9" t="inlineStr">
        <is>
          <t>carton_height_cm</t>
        </is>
      </c>
      <c r="K1" s="9" t="inlineStr">
        <is>
          <t>cbm_per_carton</t>
        </is>
      </c>
      <c r="L1" s="9" t="inlineStr">
        <is>
          <t>is_active</t>
        </is>
      </c>
      <c r="M1" s="11" t="inlineStr">
        <is>
          <t>notes</t>
        </is>
      </c>
    </row>
    <row r="2">
      <c r="A2" s="12" t="inlineStr">
        <is>
          <t>GPFRIOMP33</t>
        </is>
      </c>
      <c r="B2" s="12" t="inlineStr">
        <is>
          <t>Cooling Waterproof mattress protector — TWIN White</t>
        </is>
      </c>
      <c r="C2" s="20" t="n">
        <v>5.31</v>
      </c>
      <c r="D2" s="12" t="inlineStr">
        <is>
          <t>USD</t>
        </is>
      </c>
      <c r="E2" s="20" t="inlineStr">
        <is>
          <t>2026-04-21</t>
        </is>
      </c>
      <c r="F2" s="19" t="inlineStr"/>
      <c r="G2" s="12" t="n">
        <v>10</v>
      </c>
      <c r="H2" s="12" t="n">
        <v>56</v>
      </c>
      <c r="I2" s="12" t="n">
        <v>29</v>
      </c>
      <c r="J2" s="12" t="n">
        <v>27</v>
      </c>
      <c r="K2" s="12" t="n">
        <v>0.0438</v>
      </c>
      <c r="L2" s="12" t="b">
        <v>1</v>
      </c>
      <c r="M2" s="19" t="inlineStr"/>
    </row>
    <row r="3">
      <c r="A3" s="14" t="inlineStr">
        <is>
          <t>GPFRIOMP38</t>
        </is>
      </c>
      <c r="B3" s="14" t="inlineStr">
        <is>
          <t>Cooling Waterproof mattress protector — TWIN XL White</t>
        </is>
      </c>
      <c r="C3" s="20" t="n">
        <v>5.36</v>
      </c>
      <c r="D3" s="14" t="inlineStr">
        <is>
          <t>USD</t>
        </is>
      </c>
      <c r="E3" s="20" t="inlineStr">
        <is>
          <t>2026-04-21</t>
        </is>
      </c>
      <c r="F3" s="19" t="inlineStr"/>
      <c r="G3" s="14" t="n">
        <v>10</v>
      </c>
      <c r="H3" s="14" t="n">
        <v>56</v>
      </c>
      <c r="I3" s="14" t="n">
        <v>29</v>
      </c>
      <c r="J3" s="14" t="n">
        <v>27</v>
      </c>
      <c r="K3" s="14" t="n">
        <v>0.0438</v>
      </c>
      <c r="L3" s="14" t="b">
        <v>1</v>
      </c>
      <c r="M3" s="19" t="inlineStr"/>
    </row>
    <row r="4">
      <c r="A4" s="12" t="inlineStr">
        <is>
          <t>GPFRIOMP46</t>
        </is>
      </c>
      <c r="B4" s="12" t="inlineStr">
        <is>
          <t>Cooling Waterproof mattress protector — FULL White</t>
        </is>
      </c>
      <c r="C4" s="20" t="n">
        <v>6.79</v>
      </c>
      <c r="D4" s="12" t="inlineStr">
        <is>
          <t>USD</t>
        </is>
      </c>
      <c r="E4" s="20" t="inlineStr">
        <is>
          <t>2026-04-21</t>
        </is>
      </c>
      <c r="F4" s="19" t="inlineStr"/>
      <c r="G4" s="12" t="n">
        <v>10</v>
      </c>
      <c r="H4" s="12" t="n">
        <v>56</v>
      </c>
      <c r="I4" s="12" t="n">
        <v>29</v>
      </c>
      <c r="J4" s="12" t="n">
        <v>27</v>
      </c>
      <c r="K4" s="12" t="n">
        <v>0.0438</v>
      </c>
      <c r="L4" s="12" t="b">
        <v>1</v>
      </c>
      <c r="M4" s="19" t="inlineStr"/>
    </row>
    <row r="5">
      <c r="A5" s="14" t="inlineStr">
        <is>
          <t>GPFRIOMP80</t>
        </is>
      </c>
      <c r="B5" s="14" t="inlineStr">
        <is>
          <t>Cooling Waterproof mattress protector — FULL XL White</t>
        </is>
      </c>
      <c r="C5" s="18" t="n"/>
      <c r="D5" s="14" t="inlineStr">
        <is>
          <t>USD</t>
        </is>
      </c>
      <c r="E5" s="19" t="inlineStr"/>
      <c r="F5" s="19" t="inlineStr"/>
      <c r="G5" s="14" t="n">
        <v>10</v>
      </c>
      <c r="H5" s="14" t="n">
        <v>56</v>
      </c>
      <c r="I5" s="14" t="n">
        <v>29</v>
      </c>
      <c r="J5" s="14" t="n">
        <v>27</v>
      </c>
      <c r="K5" s="14" t="n">
        <v>0.0438</v>
      </c>
      <c r="L5" s="14" t="b">
        <v>0</v>
      </c>
      <c r="M5" s="19" t="inlineStr"/>
    </row>
    <row r="6">
      <c r="A6" s="12" t="inlineStr">
        <is>
          <t>GPFRIOMP50</t>
        </is>
      </c>
      <c r="B6" s="12" t="inlineStr">
        <is>
          <t>Cooling Waterproof mattress protector — QUEEN White</t>
        </is>
      </c>
      <c r="C6" s="20" t="n">
        <v>8.08</v>
      </c>
      <c r="D6" s="12" t="inlineStr">
        <is>
          <t>USD</t>
        </is>
      </c>
      <c r="E6" s="20" t="inlineStr">
        <is>
          <t>2026-04-21</t>
        </is>
      </c>
      <c r="F6" s="19" t="inlineStr"/>
      <c r="G6" s="12" t="n">
        <v>10</v>
      </c>
      <c r="H6" s="12" t="n">
        <v>56</v>
      </c>
      <c r="I6" s="12" t="n">
        <v>29</v>
      </c>
      <c r="J6" s="12" t="n">
        <v>32</v>
      </c>
      <c r="K6" s="12" t="n">
        <v>0.052</v>
      </c>
      <c r="L6" s="12" t="b">
        <v>1</v>
      </c>
      <c r="M6" s="19" t="inlineStr"/>
    </row>
    <row r="7">
      <c r="A7" s="14" t="inlineStr">
        <is>
          <t>GPFRIOMP78</t>
        </is>
      </c>
      <c r="B7" s="14" t="inlineStr">
        <is>
          <t>Cooling Waterproof mattress protector — KING White</t>
        </is>
      </c>
      <c r="C7" s="20" t="n">
        <v>9.75</v>
      </c>
      <c r="D7" s="14" t="inlineStr">
        <is>
          <t>USD</t>
        </is>
      </c>
      <c r="E7" s="20" t="inlineStr">
        <is>
          <t>2026-04-21</t>
        </is>
      </c>
      <c r="F7" s="19" t="inlineStr"/>
      <c r="G7" s="14" t="n">
        <v>8</v>
      </c>
      <c r="H7" s="14" t="n">
        <v>56</v>
      </c>
      <c r="I7" s="14" t="n">
        <v>29</v>
      </c>
      <c r="J7" s="14" t="n">
        <v>30</v>
      </c>
      <c r="K7" s="14" t="n">
        <v>0.0487</v>
      </c>
      <c r="L7" s="14" t="b">
        <v>1</v>
      </c>
      <c r="M7" s="19" t="inlineStr"/>
    </row>
    <row r="8">
      <c r="A8" s="12" t="inlineStr">
        <is>
          <t>GPFRIOMP72</t>
        </is>
      </c>
      <c r="B8" s="12" t="inlineStr">
        <is>
          <t>Cooling Waterproof mattress protector — CAL KING White</t>
        </is>
      </c>
      <c r="C8" s="20" t="n">
        <v>9.75</v>
      </c>
      <c r="D8" s="12" t="inlineStr">
        <is>
          <t>USD</t>
        </is>
      </c>
      <c r="E8" s="20" t="inlineStr">
        <is>
          <t>2026-04-21</t>
        </is>
      </c>
      <c r="F8" s="19" t="inlineStr"/>
      <c r="G8" s="12" t="n">
        <v>8</v>
      </c>
      <c r="H8" s="12" t="n">
        <v>56</v>
      </c>
      <c r="I8" s="12" t="n">
        <v>29</v>
      </c>
      <c r="J8" s="12" t="n">
        <v>30</v>
      </c>
      <c r="K8" s="12" t="n">
        <v>0.0487</v>
      </c>
      <c r="L8" s="12" t="b">
        <v>1</v>
      </c>
      <c r="M8" s="19" t="inlineStr"/>
    </row>
    <row r="9">
      <c r="A9" s="14" t="inlineStr">
        <is>
          <t>GPFRIOMP36</t>
        </is>
      </c>
      <c r="B9" s="14" t="inlineStr">
        <is>
          <t>Cooling Waterproof mattress protector — SPLIT  CAL KING White</t>
        </is>
      </c>
      <c r="C9" s="18" t="n"/>
      <c r="D9" s="14" t="inlineStr">
        <is>
          <t>USD</t>
        </is>
      </c>
      <c r="E9" s="19" t="inlineStr"/>
      <c r="F9" s="19" t="inlineStr"/>
      <c r="G9" s="14" t="inlineStr"/>
      <c r="H9" s="14" t="n"/>
      <c r="I9" s="14" t="n"/>
      <c r="J9" s="14" t="n"/>
      <c r="K9" s="14" t="n"/>
      <c r="L9" s="14" t="b">
        <v>0</v>
      </c>
      <c r="M9" s="19" t="inlineStr"/>
    </row>
    <row r="10">
      <c r="A10" s="12" t="inlineStr">
        <is>
          <t>GPFRIOMP52</t>
        </is>
      </c>
      <c r="B10" s="12" t="inlineStr">
        <is>
          <t>Cooling Waterproof mattress protector — SPLIT HEAD QUEEN White</t>
        </is>
      </c>
      <c r="C10" s="20" t="n">
        <v>9.140000000000001</v>
      </c>
      <c r="D10" s="12" t="inlineStr">
        <is>
          <t>USD</t>
        </is>
      </c>
      <c r="E10" s="20" t="inlineStr">
        <is>
          <t>2026-04-21</t>
        </is>
      </c>
      <c r="F10" s="19" t="inlineStr"/>
      <c r="G10" s="12" t="n">
        <v>10</v>
      </c>
      <c r="H10" s="12" t="n">
        <v>56</v>
      </c>
      <c r="I10" s="12" t="n">
        <v>29</v>
      </c>
      <c r="J10" s="12" t="n">
        <v>32</v>
      </c>
      <c r="K10" s="12" t="n">
        <v>0.052</v>
      </c>
      <c r="L10" s="12" t="b">
        <v>1</v>
      </c>
      <c r="M10" s="19" t="inlineStr"/>
    </row>
    <row r="11">
      <c r="A11" s="14" t="inlineStr">
        <is>
          <t>GPFRIOMP79</t>
        </is>
      </c>
      <c r="B11" s="14" t="inlineStr">
        <is>
          <t>Cooling Waterproof mattress protector — SPLIT HEAD KING White</t>
        </is>
      </c>
      <c r="C11" s="20" t="n">
        <v>10.81</v>
      </c>
      <c r="D11" s="14" t="inlineStr">
        <is>
          <t>USD</t>
        </is>
      </c>
      <c r="E11" s="20" t="inlineStr">
        <is>
          <t>2026-04-21</t>
        </is>
      </c>
      <c r="F11" s="19" t="inlineStr"/>
      <c r="G11" s="14" t="n">
        <v>8</v>
      </c>
      <c r="H11" s="14" t="n">
        <v>56</v>
      </c>
      <c r="I11" s="14" t="n">
        <v>29</v>
      </c>
      <c r="J11" s="14" t="n">
        <v>30</v>
      </c>
      <c r="K11" s="14" t="n">
        <v>0.0487</v>
      </c>
      <c r="L11" s="14" t="b">
        <v>1</v>
      </c>
      <c r="M11" s="19" t="inlineStr"/>
    </row>
    <row r="12">
      <c r="A12" s="12" t="inlineStr">
        <is>
          <t>GPMP33</t>
        </is>
      </c>
      <c r="B12" s="12" t="inlineStr">
        <is>
          <t>Poly terry Waterproof mattress protector — TWIN White</t>
        </is>
      </c>
      <c r="C12" s="20" t="n">
        <v>3.35</v>
      </c>
      <c r="D12" s="12" t="inlineStr">
        <is>
          <t>USD</t>
        </is>
      </c>
      <c r="E12" s="20" t="inlineStr">
        <is>
          <t>2026-04-21</t>
        </is>
      </c>
      <c r="F12" s="19" t="inlineStr"/>
      <c r="G12" s="12" t="inlineStr"/>
      <c r="H12" s="12" t="n"/>
      <c r="I12" s="12" t="n"/>
      <c r="J12" s="12" t="n"/>
      <c r="K12" s="12" t="n"/>
      <c r="L12" s="12" t="b">
        <v>1</v>
      </c>
      <c r="M12" s="19" t="inlineStr"/>
    </row>
    <row r="13">
      <c r="A13" s="14" t="inlineStr">
        <is>
          <t>GPMP38</t>
        </is>
      </c>
      <c r="B13" s="14" t="inlineStr">
        <is>
          <t>Poly terry Waterproof mattress protector — TWIN XL White</t>
        </is>
      </c>
      <c r="C13" s="20" t="n">
        <v>3.35</v>
      </c>
      <c r="D13" s="14" t="inlineStr">
        <is>
          <t>USD</t>
        </is>
      </c>
      <c r="E13" s="20" t="inlineStr">
        <is>
          <t>2026-04-21</t>
        </is>
      </c>
      <c r="F13" s="19" t="inlineStr"/>
      <c r="G13" s="14" t="inlineStr"/>
      <c r="H13" s="14" t="n"/>
      <c r="I13" s="14" t="n"/>
      <c r="J13" s="14" t="n"/>
      <c r="K13" s="14" t="n"/>
      <c r="L13" s="14" t="b">
        <v>1</v>
      </c>
      <c r="M13" s="19" t="inlineStr"/>
    </row>
    <row r="14">
      <c r="A14" s="12" t="inlineStr">
        <is>
          <t>GPMP46</t>
        </is>
      </c>
      <c r="B14" s="12" t="inlineStr">
        <is>
          <t>Poly terry Waterproof mattress protector — FULL White</t>
        </is>
      </c>
      <c r="C14" s="20" t="n">
        <v>4.11</v>
      </c>
      <c r="D14" s="12" t="inlineStr">
        <is>
          <t>USD</t>
        </is>
      </c>
      <c r="E14" s="20" t="inlineStr">
        <is>
          <t>2026-04-21</t>
        </is>
      </c>
      <c r="F14" s="19" t="inlineStr"/>
      <c r="G14" s="12" t="inlineStr"/>
      <c r="H14" s="12" t="n"/>
      <c r="I14" s="12" t="n"/>
      <c r="J14" s="12" t="n"/>
      <c r="K14" s="12" t="n"/>
      <c r="L14" s="12" t="b">
        <v>1</v>
      </c>
      <c r="M14" s="19" t="inlineStr"/>
    </row>
    <row r="15">
      <c r="A15" s="14" t="inlineStr">
        <is>
          <t>GPMP80</t>
        </is>
      </c>
      <c r="B15" s="14" t="inlineStr">
        <is>
          <t>Poly terry Waterproof mattress protector — FULL XL White</t>
        </is>
      </c>
      <c r="C15" s="18" t="n"/>
      <c r="D15" s="14" t="inlineStr">
        <is>
          <t>USD</t>
        </is>
      </c>
      <c r="E15" s="19" t="inlineStr"/>
      <c r="F15" s="19" t="inlineStr"/>
      <c r="G15" s="14" t="inlineStr"/>
      <c r="H15" s="14" t="n"/>
      <c r="I15" s="14" t="n"/>
      <c r="J15" s="14" t="n"/>
      <c r="K15" s="14" t="n"/>
      <c r="L15" s="14" t="b">
        <v>0</v>
      </c>
      <c r="M15" s="19" t="inlineStr"/>
    </row>
    <row r="16">
      <c r="A16" s="12" t="inlineStr">
        <is>
          <t>GPMP50</t>
        </is>
      </c>
      <c r="B16" s="12" t="inlineStr">
        <is>
          <t>Poly terry Waterproof mattress protector — QUEEN White</t>
        </is>
      </c>
      <c r="C16" s="20" t="n">
        <v>4.59</v>
      </c>
      <c r="D16" s="12" t="inlineStr">
        <is>
          <t>USD</t>
        </is>
      </c>
      <c r="E16" s="20" t="inlineStr">
        <is>
          <t>2026-04-21</t>
        </is>
      </c>
      <c r="F16" s="19" t="inlineStr"/>
      <c r="G16" s="12" t="inlineStr"/>
      <c r="H16" s="12" t="n"/>
      <c r="I16" s="12" t="n"/>
      <c r="J16" s="12" t="n"/>
      <c r="K16" s="12" t="n"/>
      <c r="L16" s="12" t="b">
        <v>1</v>
      </c>
      <c r="M16" s="19" t="inlineStr"/>
    </row>
    <row r="17">
      <c r="A17" s="14" t="inlineStr">
        <is>
          <t>GPMP78</t>
        </is>
      </c>
      <c r="B17" s="14" t="inlineStr">
        <is>
          <t>Poly terry Waterproof mattress protector — KING White</t>
        </is>
      </c>
      <c r="C17" s="20" t="n">
        <v>5.74</v>
      </c>
      <c r="D17" s="14" t="inlineStr">
        <is>
          <t>USD</t>
        </is>
      </c>
      <c r="E17" s="20" t="inlineStr">
        <is>
          <t>2026-04-21</t>
        </is>
      </c>
      <c r="F17" s="19" t="inlineStr"/>
      <c r="G17" s="14" t="inlineStr"/>
      <c r="H17" s="14" t="n"/>
      <c r="I17" s="14" t="n"/>
      <c r="J17" s="14" t="n"/>
      <c r="K17" s="14" t="n"/>
      <c r="L17" s="14" t="b">
        <v>1</v>
      </c>
      <c r="M17" s="19" t="inlineStr"/>
    </row>
    <row r="18">
      <c r="A18" s="12" t="inlineStr">
        <is>
          <t>GPMP72</t>
        </is>
      </c>
      <c r="B18" s="12" t="inlineStr">
        <is>
          <t>Poly terry Waterproof mattress protector — CAL KING White</t>
        </is>
      </c>
      <c r="C18" s="20" t="n">
        <v>5.74</v>
      </c>
      <c r="D18" s="12" t="inlineStr">
        <is>
          <t>USD</t>
        </is>
      </c>
      <c r="E18" s="20" t="inlineStr">
        <is>
          <t>2026-04-21</t>
        </is>
      </c>
      <c r="F18" s="19" t="inlineStr"/>
      <c r="G18" s="12" t="inlineStr"/>
      <c r="H18" s="12" t="n"/>
      <c r="I18" s="12" t="n"/>
      <c r="J18" s="12" t="n"/>
      <c r="K18" s="12" t="n"/>
      <c r="L18" s="12" t="b">
        <v>1</v>
      </c>
      <c r="M18" s="19" t="inlineStr"/>
    </row>
    <row r="19">
      <c r="A19" s="14" t="inlineStr">
        <is>
          <t>GPMP36</t>
        </is>
      </c>
      <c r="B19" s="14" t="inlineStr">
        <is>
          <t>Poly terry Waterproof mattress protector — SPLIT CAL KING White</t>
        </is>
      </c>
      <c r="C19" s="18" t="n"/>
      <c r="D19" s="14" t="inlineStr">
        <is>
          <t>USD</t>
        </is>
      </c>
      <c r="E19" s="19" t="inlineStr"/>
      <c r="F19" s="19" t="inlineStr"/>
      <c r="G19" s="14" t="inlineStr"/>
      <c r="H19" s="14" t="n"/>
      <c r="I19" s="14" t="n"/>
      <c r="J19" s="14" t="n"/>
      <c r="K19" s="14" t="n"/>
      <c r="L19" s="14" t="b">
        <v>0</v>
      </c>
      <c r="M19" s="19" t="inlineStr"/>
    </row>
    <row r="20">
      <c r="A20" s="12" t="inlineStr">
        <is>
          <t>GPMP52</t>
        </is>
      </c>
      <c r="B20" s="12" t="inlineStr">
        <is>
          <t>Poly terry Waterproof mattress protector — SPLIT HEAD QUEEN White</t>
        </is>
      </c>
      <c r="C20" s="20" t="n">
        <v>5.31</v>
      </c>
      <c r="D20" s="12" t="inlineStr">
        <is>
          <t>USD</t>
        </is>
      </c>
      <c r="E20" s="20" t="inlineStr">
        <is>
          <t>2026-04-21</t>
        </is>
      </c>
      <c r="F20" s="19" t="inlineStr"/>
      <c r="G20" s="12" t="inlineStr"/>
      <c r="H20" s="12" t="n"/>
      <c r="I20" s="12" t="n"/>
      <c r="J20" s="12" t="n"/>
      <c r="K20" s="12" t="n"/>
      <c r="L20" s="12" t="b">
        <v>1</v>
      </c>
      <c r="M20" s="19" t="inlineStr"/>
    </row>
    <row r="21">
      <c r="A21" s="14" t="inlineStr">
        <is>
          <t>GPMP79</t>
        </is>
      </c>
      <c r="B21" s="14" t="inlineStr">
        <is>
          <t>Poly terry Waterproof mattress protector — SPLIT HEAD KING White</t>
        </is>
      </c>
      <c r="C21" s="20" t="n">
        <v>6.46</v>
      </c>
      <c r="D21" s="14" t="inlineStr">
        <is>
          <t>USD</t>
        </is>
      </c>
      <c r="E21" s="20" t="inlineStr">
        <is>
          <t>2026-04-21</t>
        </is>
      </c>
      <c r="F21" s="19" t="inlineStr"/>
      <c r="G21" s="14" t="inlineStr"/>
      <c r="H21" s="14" t="n"/>
      <c r="I21" s="14" t="n"/>
      <c r="J21" s="14" t="n"/>
      <c r="K21" s="14" t="n"/>
      <c r="L21" s="14" t="b">
        <v>1</v>
      </c>
      <c r="M21" s="19" t="inlineStr"/>
    </row>
    <row r="22">
      <c r="A22" s="12" t="inlineStr">
        <is>
          <t>GPTE33</t>
        </is>
      </c>
      <c r="B22" s="12" t="inlineStr">
        <is>
          <t>Poly terry waterproof total encasement protector — TWIN White</t>
        </is>
      </c>
      <c r="C22" s="20" t="n">
        <v>6.03</v>
      </c>
      <c r="D22" s="12" t="inlineStr">
        <is>
          <t>USD</t>
        </is>
      </c>
      <c r="E22" s="20" t="inlineStr">
        <is>
          <t>2026-04-21</t>
        </is>
      </c>
      <c r="F22" s="19" t="inlineStr"/>
      <c r="G22" s="12" t="inlineStr"/>
      <c r="H22" s="12" t="n"/>
      <c r="I22" s="12" t="n"/>
      <c r="J22" s="12" t="n"/>
      <c r="K22" s="12" t="n"/>
      <c r="L22" s="12" t="b">
        <v>1</v>
      </c>
      <c r="M22" s="19" t="inlineStr"/>
    </row>
    <row r="23">
      <c r="A23" s="14" t="inlineStr">
        <is>
          <t>GPTE38</t>
        </is>
      </c>
      <c r="B23" s="14" t="inlineStr">
        <is>
          <t>Poly terry waterproof total encasement protector — TWIN XL White</t>
        </is>
      </c>
      <c r="C23" s="20" t="n">
        <v>6.13</v>
      </c>
      <c r="D23" s="14" t="inlineStr">
        <is>
          <t>USD</t>
        </is>
      </c>
      <c r="E23" s="20" t="inlineStr">
        <is>
          <t>2026-04-21</t>
        </is>
      </c>
      <c r="F23" s="19" t="inlineStr"/>
      <c r="G23" s="14" t="inlineStr"/>
      <c r="H23" s="14" t="n"/>
      <c r="I23" s="14" t="n"/>
      <c r="J23" s="14" t="n"/>
      <c r="K23" s="14" t="n"/>
      <c r="L23" s="14" t="b">
        <v>1</v>
      </c>
      <c r="M23" s="19" t="inlineStr"/>
    </row>
    <row r="24">
      <c r="A24" s="12" t="inlineStr">
        <is>
          <t>GPTE46</t>
        </is>
      </c>
      <c r="B24" s="12" t="inlineStr">
        <is>
          <t>Poly terry waterproof total encasement protector — FULL White</t>
        </is>
      </c>
      <c r="C24" s="20" t="n">
        <v>7.47</v>
      </c>
      <c r="D24" s="12" t="inlineStr">
        <is>
          <t>USD</t>
        </is>
      </c>
      <c r="E24" s="20" t="inlineStr">
        <is>
          <t>2026-04-21</t>
        </is>
      </c>
      <c r="F24" s="19" t="inlineStr"/>
      <c r="G24" s="12" t="inlineStr"/>
      <c r="H24" s="12" t="n"/>
      <c r="I24" s="12" t="n"/>
      <c r="J24" s="12" t="n"/>
      <c r="K24" s="12" t="n"/>
      <c r="L24" s="12" t="b">
        <v>1</v>
      </c>
      <c r="M24" s="19" t="inlineStr"/>
    </row>
    <row r="25">
      <c r="A25" s="14" t="inlineStr">
        <is>
          <t>GPTE80</t>
        </is>
      </c>
      <c r="B25" s="14" t="inlineStr">
        <is>
          <t>Poly terry waterproof total encasement protector — FULL XL White</t>
        </is>
      </c>
      <c r="C25" s="18" t="n"/>
      <c r="D25" s="14" t="inlineStr">
        <is>
          <t>USD</t>
        </is>
      </c>
      <c r="E25" s="19" t="inlineStr"/>
      <c r="F25" s="19" t="inlineStr"/>
      <c r="G25" s="14" t="inlineStr"/>
      <c r="H25" s="14" t="n"/>
      <c r="I25" s="14" t="n"/>
      <c r="J25" s="14" t="n"/>
      <c r="K25" s="14" t="n"/>
      <c r="L25" s="14" t="b">
        <v>0</v>
      </c>
      <c r="M25" s="19" t="inlineStr"/>
    </row>
    <row r="26">
      <c r="A26" s="12" t="inlineStr">
        <is>
          <t>GPTE50</t>
        </is>
      </c>
      <c r="B26" s="12" t="inlineStr">
        <is>
          <t>Poly terry waterproof total encasement protector — QUEEN White</t>
        </is>
      </c>
      <c r="C26" s="20" t="n">
        <v>8.710000000000001</v>
      </c>
      <c r="D26" s="12" t="inlineStr">
        <is>
          <t>USD</t>
        </is>
      </c>
      <c r="E26" s="20" t="inlineStr">
        <is>
          <t>2026-04-21</t>
        </is>
      </c>
      <c r="F26" s="19" t="inlineStr"/>
      <c r="G26" s="12" t="inlineStr"/>
      <c r="H26" s="12" t="n"/>
      <c r="I26" s="12" t="n"/>
      <c r="J26" s="12" t="n"/>
      <c r="K26" s="12" t="n"/>
      <c r="L26" s="12" t="b">
        <v>1</v>
      </c>
      <c r="M26" s="19" t="inlineStr"/>
    </row>
    <row r="27">
      <c r="A27" s="14" t="inlineStr">
        <is>
          <t>GPTE78</t>
        </is>
      </c>
      <c r="B27" s="14" t="inlineStr">
        <is>
          <t>Poly terry waterproof total encasement protector — KING White</t>
        </is>
      </c>
      <c r="C27" s="20" t="n">
        <v>10.62</v>
      </c>
      <c r="D27" s="14" t="inlineStr">
        <is>
          <t>USD</t>
        </is>
      </c>
      <c r="E27" s="20" t="inlineStr">
        <is>
          <t>2026-04-21</t>
        </is>
      </c>
      <c r="F27" s="19" t="inlineStr"/>
      <c r="G27" s="14" t="inlineStr"/>
      <c r="H27" s="14" t="n"/>
      <c r="I27" s="14" t="n"/>
      <c r="J27" s="14" t="n"/>
      <c r="K27" s="14" t="n"/>
      <c r="L27" s="14" t="b">
        <v>1</v>
      </c>
      <c r="M27" s="19" t="inlineStr"/>
    </row>
    <row r="28">
      <c r="A28" s="12" t="inlineStr">
        <is>
          <t>GPTE72</t>
        </is>
      </c>
      <c r="B28" s="12" t="inlineStr">
        <is>
          <t>Poly terry waterproof total encasement protector — CAL KING White</t>
        </is>
      </c>
      <c r="C28" s="20" t="n">
        <v>10.62</v>
      </c>
      <c r="D28" s="12" t="inlineStr">
        <is>
          <t>USD</t>
        </is>
      </c>
      <c r="E28" s="20" t="inlineStr">
        <is>
          <t>2026-04-21</t>
        </is>
      </c>
      <c r="F28" s="19" t="inlineStr"/>
      <c r="G28" s="12" t="inlineStr"/>
      <c r="H28" s="12" t="n"/>
      <c r="I28" s="12" t="n"/>
      <c r="J28" s="12" t="n"/>
      <c r="K28" s="12" t="n"/>
      <c r="L28" s="12" t="b">
        <v>1</v>
      </c>
      <c r="M28" s="19" t="inlineStr"/>
    </row>
    <row r="29">
      <c r="A29" s="14" t="inlineStr">
        <is>
          <t>GPTE36</t>
        </is>
      </c>
      <c r="B29" s="14" t="inlineStr">
        <is>
          <t>Poly terry waterproof total encasement protector — SP CAL KING White</t>
        </is>
      </c>
      <c r="C29" s="18" t="n"/>
      <c r="D29" s="14" t="inlineStr">
        <is>
          <t>USD</t>
        </is>
      </c>
      <c r="E29" s="19" t="inlineStr"/>
      <c r="F29" s="19" t="inlineStr"/>
      <c r="G29" s="14" t="inlineStr"/>
      <c r="H29" s="14" t="n"/>
      <c r="I29" s="14" t="n"/>
      <c r="J29" s="14" t="n"/>
      <c r="K29" s="14" t="n"/>
      <c r="L29" s="14" t="b">
        <v>0</v>
      </c>
      <c r="M29" s="19" t="inlineStr"/>
    </row>
    <row r="30">
      <c r="A30" s="12" t="inlineStr">
        <is>
          <t>GPTE52</t>
        </is>
      </c>
      <c r="B30" s="12" t="inlineStr">
        <is>
          <t>Poly terry waterproof total encasement protector — SPLIT HEAD QUEEN White</t>
        </is>
      </c>
      <c r="C30" s="20" t="n">
        <v>11.44</v>
      </c>
      <c r="D30" s="12" t="inlineStr">
        <is>
          <t>USD</t>
        </is>
      </c>
      <c r="E30" s="20" t="inlineStr">
        <is>
          <t>2026-04-21</t>
        </is>
      </c>
      <c r="F30" s="19" t="inlineStr"/>
      <c r="G30" s="12" t="n">
        <v>10</v>
      </c>
      <c r="H30" s="12" t="n">
        <v>58</v>
      </c>
      <c r="I30" s="12" t="n">
        <v>28.5</v>
      </c>
      <c r="J30" s="12" t="n">
        <v>49</v>
      </c>
      <c r="K30" s="12" t="n">
        <v>0.081</v>
      </c>
      <c r="L30" s="12" t="b">
        <v>1</v>
      </c>
      <c r="M30" s="19" t="inlineStr"/>
    </row>
    <row r="31">
      <c r="A31" s="14" t="inlineStr">
        <is>
          <t>GPTE79</t>
        </is>
      </c>
      <c r="B31" s="14" t="inlineStr">
        <is>
          <t>Poly terry waterproof total encasement protector — SPLIT HEAD KING White</t>
        </is>
      </c>
      <c r="C31" s="20" t="n">
        <v>12.73</v>
      </c>
      <c r="D31" s="14" t="inlineStr">
        <is>
          <t>USD</t>
        </is>
      </c>
      <c r="E31" s="20" t="inlineStr">
        <is>
          <t>2026-04-21</t>
        </is>
      </c>
      <c r="F31" s="19" t="inlineStr"/>
      <c r="G31" s="14" t="n">
        <v>8</v>
      </c>
      <c r="H31" s="14" t="n">
        <v>58</v>
      </c>
      <c r="I31" s="14" t="n">
        <v>28.5</v>
      </c>
      <c r="J31" s="14" t="n">
        <v>43</v>
      </c>
      <c r="K31" s="14" t="n">
        <v>0.0711</v>
      </c>
      <c r="L31" s="14" t="b">
        <v>1</v>
      </c>
      <c r="M31" s="19" t="inlineStr"/>
    </row>
    <row r="32">
      <c r="A32" s="12" t="inlineStr">
        <is>
          <t>GPSE33</t>
        </is>
      </c>
      <c r="B32" s="12" t="inlineStr">
        <is>
          <t>Poly terry waterproof total encasement protector — SLEEPER - TWIN White</t>
        </is>
      </c>
      <c r="C32" s="20" t="n">
        <v>6.51</v>
      </c>
      <c r="D32" s="12" t="inlineStr">
        <is>
          <t>USD</t>
        </is>
      </c>
      <c r="E32" s="20" t="inlineStr">
        <is>
          <t>2026-04-21</t>
        </is>
      </c>
      <c r="F32" s="19" t="inlineStr"/>
      <c r="G32" s="12" t="inlineStr"/>
      <c r="H32" s="12" t="n"/>
      <c r="I32" s="12" t="n"/>
      <c r="J32" s="12" t="n"/>
      <c r="K32" s="12" t="n"/>
      <c r="L32" s="12" t="b">
        <v>1</v>
      </c>
      <c r="M32" s="19" t="inlineStr"/>
    </row>
    <row r="33">
      <c r="A33" s="14" t="inlineStr">
        <is>
          <t>GPSE46</t>
        </is>
      </c>
      <c r="B33" s="14" t="inlineStr">
        <is>
          <t>Poly terry waterproof total encasement protector — SLEEPER - FULL White</t>
        </is>
      </c>
      <c r="C33" s="20" t="n">
        <v>7.55</v>
      </c>
      <c r="D33" s="14" t="inlineStr">
        <is>
          <t>USD</t>
        </is>
      </c>
      <c r="E33" s="20" t="inlineStr">
        <is>
          <t>2026-04-21</t>
        </is>
      </c>
      <c r="F33" s="19" t="inlineStr"/>
      <c r="G33" s="14" t="inlineStr"/>
      <c r="H33" s="14" t="n"/>
      <c r="I33" s="14" t="n"/>
      <c r="J33" s="14" t="n"/>
      <c r="K33" s="14" t="n"/>
      <c r="L33" s="14" t="b">
        <v>1</v>
      </c>
      <c r="M33" s="19" t="inlineStr"/>
    </row>
    <row r="34">
      <c r="A34" s="12" t="inlineStr">
        <is>
          <t>GPSE50</t>
        </is>
      </c>
      <c r="B34" s="12" t="inlineStr">
        <is>
          <t>Poly terry waterproof total encasement protector — SLEEPER - QUEEN White</t>
        </is>
      </c>
      <c r="C34" s="20" t="n">
        <v>8.52</v>
      </c>
      <c r="D34" s="12" t="inlineStr">
        <is>
          <t>USD</t>
        </is>
      </c>
      <c r="E34" s="20" t="inlineStr">
        <is>
          <t>2026-04-21</t>
        </is>
      </c>
      <c r="F34" s="19" t="inlineStr"/>
      <c r="G34" s="12" t="inlineStr"/>
      <c r="H34" s="12" t="n"/>
      <c r="I34" s="12" t="n"/>
      <c r="J34" s="12" t="n"/>
      <c r="K34" s="12" t="n"/>
      <c r="L34" s="12" t="b">
        <v>1</v>
      </c>
      <c r="M34" s="19" t="inlineStr"/>
    </row>
    <row r="35">
      <c r="A35" s="14" t="inlineStr">
        <is>
          <t>GPPPQ</t>
        </is>
      </c>
      <c r="B35" s="14" t="inlineStr">
        <is>
          <t>Pillow Protector — QUEEN White</t>
        </is>
      </c>
      <c r="C35" s="18" t="n"/>
      <c r="D35" s="14" t="inlineStr">
        <is>
          <t>USD</t>
        </is>
      </c>
      <c r="E35" s="19" t="inlineStr"/>
      <c r="F35" s="19" t="inlineStr"/>
      <c r="G35" s="15" t="n">
        <v>24</v>
      </c>
      <c r="H35" s="15" t="n">
        <v>47</v>
      </c>
      <c r="I35" s="15" t="n">
        <v>28</v>
      </c>
      <c r="J35" s="15" t="n">
        <v>25</v>
      </c>
      <c r="K35" s="15" t="n">
        <v>0.0329</v>
      </c>
      <c r="L35" s="14" t="b">
        <v>0</v>
      </c>
      <c r="M35" s="19" t="inlineStr">
        <is>
          <t>Fill price before importing PO</t>
        </is>
      </c>
    </row>
    <row r="36">
      <c r="A36" s="12" t="inlineStr">
        <is>
          <t>GPPPK</t>
        </is>
      </c>
      <c r="B36" s="12" t="inlineStr">
        <is>
          <t>Pillow Protector — KING White</t>
        </is>
      </c>
      <c r="C36" s="18" t="n"/>
      <c r="D36" s="12" t="inlineStr">
        <is>
          <t>USD</t>
        </is>
      </c>
      <c r="E36" s="19" t="inlineStr"/>
      <c r="F36" s="19" t="inlineStr"/>
      <c r="G36" s="13" t="n">
        <v>24</v>
      </c>
      <c r="H36" s="13" t="n">
        <v>47</v>
      </c>
      <c r="I36" s="13" t="n">
        <v>28</v>
      </c>
      <c r="J36" s="13" t="n">
        <v>25</v>
      </c>
      <c r="K36" s="13" t="n">
        <v>0.0329</v>
      </c>
      <c r="L36" s="12" t="b">
        <v>0</v>
      </c>
      <c r="M36" s="19" t="inlineStr">
        <is>
          <t>Fill price before importing PO</t>
        </is>
      </c>
    </row>
    <row r="37">
      <c r="A37" s="14" t="inlineStr">
        <is>
          <t>GPFRIOPPQ</t>
        </is>
      </c>
      <c r="B37" s="14" t="inlineStr">
        <is>
          <t>Pillow Protector — QUEEN White</t>
        </is>
      </c>
      <c r="C37" s="18" t="n"/>
      <c r="D37" s="14" t="inlineStr">
        <is>
          <t>USD</t>
        </is>
      </c>
      <c r="E37" s="19" t="inlineStr"/>
      <c r="F37" s="19" t="inlineStr"/>
      <c r="G37" s="15" t="n">
        <v>24</v>
      </c>
      <c r="H37" s="15" t="n">
        <v>47</v>
      </c>
      <c r="I37" s="15" t="n">
        <v>28</v>
      </c>
      <c r="J37" s="15" t="n">
        <v>25</v>
      </c>
      <c r="K37" s="15" t="n">
        <v>0.0329</v>
      </c>
      <c r="L37" s="14" t="b">
        <v>0</v>
      </c>
      <c r="M37" s="19" t="inlineStr">
        <is>
          <t>Fill price before importing PO</t>
        </is>
      </c>
    </row>
    <row r="38">
      <c r="A38" s="12" t="inlineStr">
        <is>
          <t>GPFRIOPPK</t>
        </is>
      </c>
      <c r="B38" s="12" t="inlineStr">
        <is>
          <t>Pillow Protector — KING White</t>
        </is>
      </c>
      <c r="C38" s="18" t="n"/>
      <c r="D38" s="12" t="inlineStr">
        <is>
          <t>USD</t>
        </is>
      </c>
      <c r="E38" s="19" t="inlineStr"/>
      <c r="F38" s="19" t="inlineStr"/>
      <c r="G38" s="13" t="n">
        <v>24</v>
      </c>
      <c r="H38" s="13" t="n">
        <v>47</v>
      </c>
      <c r="I38" s="13" t="n">
        <v>28</v>
      </c>
      <c r="J38" s="13" t="n">
        <v>25</v>
      </c>
      <c r="K38" s="13" t="n">
        <v>0.0329</v>
      </c>
      <c r="L38" s="12" t="b">
        <v>0</v>
      </c>
      <c r="M38" s="19" t="inlineStr">
        <is>
          <t>Fill price before importing 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7" customWidth="1" min="13" max="13"/>
    <col width="12" customWidth="1" min="14" max="14"/>
    <col width="12" customWidth="1" min="15" max="15"/>
  </cols>
  <sheetData>
    <row r="1" ht="34" customHeight="1">
      <c r="A1" s="10" t="inlineStr">
        <is>
          <t>name</t>
        </is>
      </c>
      <c r="B1" s="9" t="inlineStr">
        <is>
          <t>code</t>
        </is>
      </c>
      <c r="C1" s="9" t="inlineStr">
        <is>
          <t>category</t>
        </is>
      </c>
      <c r="D1" s="9" t="inlineStr">
        <is>
          <t>supplier_type</t>
        </is>
      </c>
      <c r="E1" s="9" t="inlineStr">
        <is>
          <t>contact_person</t>
        </is>
      </c>
      <c r="F1" s="9" t="inlineStr">
        <is>
          <t>email</t>
        </is>
      </c>
      <c r="G1" s="9" t="inlineStr">
        <is>
          <t>phone</t>
        </is>
      </c>
      <c r="H1" s="9" t="inlineStr">
        <is>
          <t>whatsapp</t>
        </is>
      </c>
      <c r="I1" s="9" t="inlineStr">
        <is>
          <t>city</t>
        </is>
      </c>
      <c r="J1" s="9" t="inlineStr">
        <is>
          <t>country</t>
        </is>
      </c>
      <c r="K1" s="9" t="inlineStr">
        <is>
          <t>payment_terms</t>
        </is>
      </c>
      <c r="L1" s="9" t="inlineStr">
        <is>
          <t>currency</t>
        </is>
      </c>
      <c r="M1" s="9" t="inlineStr">
        <is>
          <t>lead_time_days</t>
        </is>
      </c>
      <c r="N1" s="9" t="inlineStr">
        <is>
          <t>rating</t>
        </is>
      </c>
      <c r="O1" s="9" t="inlineStr">
        <is>
          <t>notes</t>
        </is>
      </c>
    </row>
    <row r="2">
      <c r="A2" s="18" t="inlineStr">
        <is>
          <t>ABC Textiles Ltd</t>
        </is>
      </c>
      <c r="B2" s="18" t="inlineStr">
        <is>
          <t>SUP-001</t>
        </is>
      </c>
      <c r="C2" s="18" t="inlineStr">
        <is>
          <t>Fabric</t>
        </is>
      </c>
      <c r="D2" s="18" t="inlineStr">
        <is>
          <t>Mill</t>
        </is>
      </c>
      <c r="E2" s="18" t="inlineStr">
        <is>
          <t>John Doe</t>
        </is>
      </c>
      <c r="F2" s="18" t="inlineStr">
        <is>
          <t>john@abc.com</t>
        </is>
      </c>
      <c r="G2" s="18" t="inlineStr">
        <is>
          <t>+92 21 1234 5678</t>
        </is>
      </c>
      <c r="H2" s="18" t="inlineStr">
        <is>
          <t>+92 300 1234567</t>
        </is>
      </c>
      <c r="I2" s="18" t="inlineStr">
        <is>
          <t>Karachi</t>
        </is>
      </c>
      <c r="J2" s="18" t="inlineStr">
        <is>
          <t>Pakistan</t>
        </is>
      </c>
      <c r="K2" s="18" t="inlineStr">
        <is>
          <t>30 days net</t>
        </is>
      </c>
      <c r="L2" s="18" t="inlineStr">
        <is>
          <t>USD</t>
        </is>
      </c>
      <c r="M2" s="18" t="n">
        <v>30</v>
      </c>
      <c r="N2" s="18" t="n">
        <v>4.5</v>
      </c>
      <c r="O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4" customHeight="1">
      <c r="A1" s="10" t="inlineStr">
        <is>
          <t>name</t>
        </is>
      </c>
      <c r="B1" s="9" t="inlineStr">
        <is>
          <t>start_date</t>
        </is>
      </c>
      <c r="C1" s="9" t="inlineStr">
        <is>
          <t>end_date</t>
        </is>
      </c>
      <c r="D1" s="9" t="inlineStr">
        <is>
          <t>notes</t>
        </is>
      </c>
      <c r="E1" s="9" t="inlineStr">
        <is>
          <t>status</t>
        </is>
      </c>
    </row>
    <row r="2">
      <c r="A2" s="18" t="inlineStr">
        <is>
          <t>SS26</t>
        </is>
      </c>
      <c r="B2" s="18" t="inlineStr">
        <is>
          <t>2026-01-01</t>
        </is>
      </c>
      <c r="C2" s="18" t="inlineStr">
        <is>
          <t>2026-06-30</t>
        </is>
      </c>
      <c r="D2" s="18" t="inlineStr">
        <is>
          <t>Spring/Summer 2026</t>
        </is>
      </c>
      <c r="E2" s="18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F4444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</cols>
  <sheetData>
    <row r="1" ht="34" customHeight="1">
      <c r="A1" s="10" t="inlineStr">
        <is>
          <t>name</t>
        </is>
      </c>
      <c r="B1" s="10" t="inlineStr">
        <is>
          <t>line_type</t>
        </is>
      </c>
      <c r="C1" s="10" t="inlineStr">
        <is>
          <t>daily_capacity</t>
        </is>
      </c>
      <c r="D1" s="9" t="inlineStr">
        <is>
          <t>operator_count</t>
        </is>
      </c>
      <c r="E1" s="9" t="inlineStr">
        <is>
          <t>is_active</t>
        </is>
      </c>
      <c r="F1" s="9" t="inlineStr">
        <is>
          <t>notes</t>
        </is>
      </c>
    </row>
    <row r="2">
      <c r="A2" s="18" t="inlineStr">
        <is>
          <t>Line 1</t>
        </is>
      </c>
      <c r="B2" s="18" t="inlineStr">
        <is>
          <t>stitching</t>
        </is>
      </c>
      <c r="C2" s="18" t="n">
        <v>500</v>
      </c>
      <c r="D2" s="18" t="n">
        <v>15</v>
      </c>
      <c r="E2" s="18" t="b">
        <v>1</v>
      </c>
      <c r="F2" s="18" t="inlineStr">
        <is>
          <t>Main stitching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2026-04-21T05:30:12Z</dcterms:created>
  <dcterms:modified xmlns:dcterms="http://purl.org/dc/terms/" xmlns:xsi="http://www.w3.org/2001/XMLSchema-instance" xsi:type="dcterms:W3CDTF">2026-04-21T08:00:01Z</dcterms:modified>
</cp:coreProperties>
</file>